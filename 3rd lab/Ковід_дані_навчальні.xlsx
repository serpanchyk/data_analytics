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40" windowWidth="34560" windowHeight="21600" tabRatio="600" firstSheet="0" activeTab="0" autoFilterDateGrouping="1"/>
  </bookViews>
  <sheets>
    <sheet xmlns:r="http://schemas.openxmlformats.org/officeDocument/2006/relationships" name="Лист1" sheetId="1" state="visible" r:id="rId1"/>
    <sheet xmlns:r="http://schemas.openxmlformats.org/officeDocument/2006/relationships" name="Лист2" sheetId="2" state="visible" r:id="rId2"/>
    <sheet xmlns:r="http://schemas.openxmlformats.org/officeDocument/2006/relationships" name="Лист3" sheetId="3" state="visible" r:id="rId3"/>
    <sheet xmlns:r="http://schemas.openxmlformats.org/officeDocument/2006/relationships" name="Лист4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&quot;UAH&quot;_-;\-* #,##0.00\ &quot;UAH&quot;_-;_-* &quot;-&quot;??\ &quot;UAH&quot;_-;_-@_-"/>
  </numFmts>
  <fonts count="4"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rgb="FFFF0000"/>
      <sz val="11"/>
      <scheme val="minor"/>
    </font>
    <font>
      <name val="Calibri"/>
      <charset val="204"/>
      <family val="2"/>
      <b val="1"/>
      <color theme="1"/>
      <sz val="11"/>
      <scheme val="minor"/>
    </font>
    <font>
      <name val="Calibri"/>
      <charset val="204"/>
      <family val="2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3">
    <xf numFmtId="0" fontId="3" fillId="0" borderId="0"/>
    <xf numFmtId="44" fontId="3" fillId="0" borderId="0"/>
    <xf numFmtId="9" fontId="3" fillId="0" borderId="0"/>
  </cellStyleXfs>
  <cellXfs count="23">
    <xf numFmtId="0" fontId="0" fillId="0" borderId="0" pivotButton="0" quotePrefix="0" xfId="0"/>
    <xf numFmtId="16" fontId="0" fillId="0" borderId="0" pivotButton="0" quotePrefix="0" xfId="0"/>
    <xf numFmtId="14" fontId="0" fillId="0" borderId="0" pivotButton="0" quotePrefix="0" xfId="0"/>
    <xf numFmtId="0" fontId="1" fillId="0" borderId="0" pivotButton="0" quotePrefix="0" xfId="0"/>
    <xf numFmtId="9" fontId="0" fillId="0" borderId="0" pivotButton="0" quotePrefix="0" xfId="0"/>
    <xf numFmtId="0" fontId="0" fillId="2" borderId="0" pivotButton="0" quotePrefix="0" xfId="0"/>
    <xf numFmtId="14" fontId="0" fillId="2" borderId="0" pivotButton="0" quotePrefix="0" xfId="0"/>
    <xf numFmtId="9" fontId="0" fillId="2" borderId="0" pivotButton="0" quotePrefix="0" xfId="0"/>
    <xf numFmtId="16" fontId="0" fillId="2" borderId="0" pivotButton="0" quotePrefix="0" xfId="0"/>
    <xf numFmtId="0" fontId="2" fillId="2" borderId="0" pivotButton="0" quotePrefix="0" xfId="0"/>
    <xf numFmtId="0" fontId="0" fillId="3" borderId="0" pivotButton="0" quotePrefix="0" xfId="0"/>
    <xf numFmtId="2" fontId="0" fillId="2" borderId="0" pivotButton="0" quotePrefix="0" xfId="0"/>
    <xf numFmtId="0" fontId="0" fillId="4" borderId="0" pivotButton="0" quotePrefix="0" xfId="0"/>
    <xf numFmtId="9" fontId="0" fillId="4" borderId="0" pivotButton="0" quotePrefix="0" xfId="0"/>
    <xf numFmtId="16" fontId="0" fillId="4" borderId="0" pivotButton="0" quotePrefix="0" xfId="0"/>
    <xf numFmtId="14" fontId="0" fillId="4" borderId="0" pivotButton="0" quotePrefix="0" xfId="0"/>
    <xf numFmtId="0" fontId="2" fillId="4" borderId="0" pivotButton="0" quotePrefix="0" xfId="0"/>
    <xf numFmtId="17" fontId="0" fillId="4" borderId="0" pivotButton="0" quotePrefix="0" xfId="0"/>
    <xf numFmtId="12" fontId="0" fillId="0" borderId="0" pivotButton="0" quotePrefix="0" xfId="0"/>
    <xf numFmtId="0" fontId="0" fillId="0" borderId="0" pivotButton="0" quotePrefix="1" xfId="0"/>
    <xf numFmtId="164" fontId="0" fillId="0" borderId="0" pivotButton="0" quotePrefix="0" xfId="1"/>
    <xf numFmtId="9" fontId="0" fillId="0" borderId="0" pivotButton="0" quotePrefix="0" xfId="2"/>
    <xf numFmtId="164" fontId="0" fillId="0" borderId="0" pivotButton="0" quotePrefix="0" xfId="1"/>
  </cellXfs>
  <cellStyles count="3">
    <cellStyle name="Normal" xfId="0" builtinId="0"/>
    <cellStyle name="Currency" xfId="1" builtinId="4"/>
    <cellStyle name="Per cent" xfId="2" builtinId="5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Y122"/>
  <sheetViews>
    <sheetView tabSelected="1" zoomScale="323" zoomScaleNormal="115" workbookViewId="0">
      <selection activeCell="BY1" sqref="BY1:BY1048576"/>
    </sheetView>
  </sheetViews>
  <sheetFormatPr baseColWidth="10" defaultColWidth="8.83203125" defaultRowHeight="15"/>
  <cols>
    <col width="13.5" customWidth="1" min="1" max="1"/>
    <col width="9.5" customWidth="1" min="2" max="2"/>
    <col width="30.6640625" customWidth="1" min="3" max="3"/>
    <col width="38.83203125" customWidth="1" min="6" max="6"/>
    <col width="28.83203125" customWidth="1" min="7" max="7"/>
    <col width="9.5" customWidth="1" min="8" max="8"/>
    <col width="48.83203125" customWidth="1" min="10" max="10"/>
    <col width="69.6640625" customWidth="1" min="11" max="11"/>
    <col width="10.6640625" customWidth="1" min="13" max="13"/>
    <col width="14.5" customWidth="1" min="14" max="14"/>
    <col width="12.1640625" customWidth="1" min="15" max="15"/>
    <col width="11.6640625" customWidth="1" min="16" max="16"/>
    <col width="10.5" customWidth="1" min="17" max="17"/>
    <col width="19.5" customWidth="1" min="18" max="18"/>
    <col width="11.6640625" customWidth="1" min="19" max="19"/>
    <col width="10.1640625" customWidth="1" min="20" max="20"/>
    <col width="10.1640625" bestFit="1" customWidth="1" min="21" max="21"/>
    <col width="12.83203125" customWidth="1" min="22" max="22"/>
    <col width="12.5" customWidth="1" min="23" max="23"/>
    <col width="11.6640625" customWidth="1" min="24" max="24"/>
    <col width="10.1640625" bestFit="1" customWidth="1" min="25" max="25"/>
    <col width="16.83203125" customWidth="1" min="28" max="28"/>
    <col width="63.83203125" customWidth="1" min="29" max="29"/>
    <col width="14.1640625" customWidth="1" min="50" max="50"/>
    <col width="12.83203125" customWidth="1" min="51" max="51"/>
    <col width="12.1640625" customWidth="1" min="52" max="52"/>
    <col width="9.1640625" customWidth="1" min="53" max="53"/>
    <col width="9.33203125" customWidth="1" min="54" max="54"/>
    <col width="9.5" customWidth="1" min="57" max="57"/>
    <col width="49.83203125" customWidth="1" min="77" max="77"/>
  </cols>
  <sheetData>
    <row r="1">
      <c r="A1" t="inlineStr">
        <is>
          <t>помер/жив</t>
        </is>
      </c>
      <c r="B1" s="3" t="inlineStr">
        <is>
          <t>номер і/х</t>
        </is>
      </c>
      <c r="C1" s="3" t="inlineStr">
        <is>
          <t>ПІП</t>
        </is>
      </c>
      <c r="D1" s="3" t="inlineStr">
        <is>
          <t>Вік</t>
        </is>
      </c>
      <c r="E1" s="3" t="inlineStr">
        <is>
          <t>Стать</t>
        </is>
      </c>
      <c r="F1" s="3" t="inlineStr">
        <is>
          <t>Телефон</t>
        </is>
      </c>
      <c r="G1" s="3" t="inlineStr">
        <is>
          <t>Діагноз</t>
        </is>
      </c>
      <c r="H1" s="3" t="inlineStr">
        <is>
          <t>Перебіг</t>
        </is>
      </c>
      <c r="I1" s="3" t="inlineStr">
        <is>
          <t>ЛН</t>
        </is>
      </c>
      <c r="J1" s="3" t="inlineStr">
        <is>
          <t>Ускладнення</t>
        </is>
      </c>
      <c r="K1" s="3" t="inlineStr">
        <is>
          <t>Супутній</t>
        </is>
      </c>
      <c r="L1" s="3" t="inlineStr">
        <is>
          <t>КТ</t>
        </is>
      </c>
      <c r="M1" s="3" t="inlineStr">
        <is>
          <t>ступінь КТ</t>
        </is>
      </c>
      <c r="N1" s="3" t="inlineStr">
        <is>
          <t>КТ опис</t>
        </is>
      </c>
      <c r="O1" s="3" t="inlineStr">
        <is>
          <t>spO2 без дот</t>
        </is>
      </c>
      <c r="P1" s="3" t="inlineStr">
        <is>
          <t>spO2 з дот</t>
        </is>
      </c>
      <c r="Q1" s="3" t="inlineStr">
        <is>
          <t>spO2 випис</t>
        </is>
      </c>
      <c r="R1" s="3" t="inlineStr">
        <is>
          <t>Днів до поступ</t>
        </is>
      </c>
      <c r="S1" s="3" t="inlineStr">
        <is>
          <t>Поступлення</t>
        </is>
      </c>
      <c r="T1" s="3" t="inlineStr">
        <is>
          <t>Виписка</t>
        </is>
      </c>
      <c r="U1" s="3" t="inlineStr">
        <is>
          <t>Ліжко днів</t>
        </is>
      </c>
      <c r="V1" s="3" t="inlineStr">
        <is>
          <t>Дата розтину</t>
        </is>
      </c>
      <c r="W1" s="3" t="inlineStr">
        <is>
          <t>Т вище38</t>
        </is>
      </c>
      <c r="X1" s="3" t="inlineStr">
        <is>
          <t>Т вище 37,5</t>
        </is>
      </c>
      <c r="Y1" s="3" t="inlineStr">
        <is>
          <t>Т 37-37,5</t>
        </is>
      </c>
      <c r="Z1" s="3" t="inlineStr">
        <is>
          <t>АТ пост</t>
        </is>
      </c>
      <c r="AA1" s="3" t="inlineStr">
        <is>
          <t>АТ стац</t>
        </is>
      </c>
      <c r="AB1" s="3" t="inlineStr">
        <is>
          <t>Дотація</t>
        </is>
      </c>
      <c r="AC1" s="3" t="inlineStr">
        <is>
          <t>УЗД</t>
        </is>
      </c>
      <c r="AD1" s="3" t="inlineStr">
        <is>
          <t>Гемогл1</t>
        </is>
      </c>
      <c r="AE1" s="3" t="inlineStr">
        <is>
          <t>Гемогл2</t>
        </is>
      </c>
      <c r="AF1" s="3" t="inlineStr">
        <is>
          <t>Л1</t>
        </is>
      </c>
      <c r="AG1" s="3" t="inlineStr">
        <is>
          <t>Л2</t>
        </is>
      </c>
      <c r="AH1" s="3" t="inlineStr">
        <is>
          <t>П/Я 1</t>
        </is>
      </c>
      <c r="AI1" s="3" t="inlineStr">
        <is>
          <t>П/Я2</t>
        </is>
      </c>
      <c r="AJ1" s="3" t="inlineStr">
        <is>
          <t>С/Я1</t>
        </is>
      </c>
      <c r="AK1" s="3" t="inlineStr">
        <is>
          <t>С/Я2</t>
        </is>
      </c>
      <c r="AL1" s="3" t="inlineStr">
        <is>
          <t>Лім1</t>
        </is>
      </c>
      <c r="AM1" s="3" t="inlineStr">
        <is>
          <t>Лім2</t>
        </is>
      </c>
      <c r="AN1" s="3" t="inlineStr">
        <is>
          <t>ШОЕ1</t>
        </is>
      </c>
      <c r="AO1" s="3" t="inlineStr">
        <is>
          <t>ШОЕ2</t>
        </is>
      </c>
      <c r="AP1" s="3" t="inlineStr">
        <is>
          <t>СРБ1</t>
        </is>
      </c>
      <c r="AQ1" s="3" t="inlineStr">
        <is>
          <t>СРБ2</t>
        </is>
      </c>
      <c r="AR1" s="3" t="inlineStr">
        <is>
          <t>ІЛ6-1</t>
        </is>
      </c>
      <c r="AS1" s="3" t="inlineStr">
        <is>
          <t>ІЛ6-2</t>
        </is>
      </c>
      <c r="AT1" s="3" t="inlineStr">
        <is>
          <t>ФЕРИТ1</t>
        </is>
      </c>
      <c r="AU1" s="3" t="inlineStr">
        <is>
          <t>Д-дим1</t>
        </is>
      </c>
      <c r="AV1" s="3" t="inlineStr">
        <is>
          <t>Д-дим2</t>
        </is>
      </c>
      <c r="AW1" s="3" t="inlineStr">
        <is>
          <t>ФЕРИТ2</t>
        </is>
      </c>
      <c r="AX1" s="3" t="inlineStr">
        <is>
          <t>Прокальцитонін</t>
        </is>
      </c>
      <c r="AY1" s="3" t="inlineStr">
        <is>
          <t>Гематокрит1</t>
        </is>
      </c>
      <c r="AZ1" s="3" t="inlineStr">
        <is>
          <t>Гематокрит2</t>
        </is>
      </c>
      <c r="BA1" s="3" t="inlineStr">
        <is>
          <t>Прот час1</t>
        </is>
      </c>
      <c r="BB1" s="3" t="inlineStr">
        <is>
          <t>Прот час2</t>
        </is>
      </c>
      <c r="BC1" s="3" t="inlineStr">
        <is>
          <t>Фібрин1</t>
        </is>
      </c>
      <c r="BD1" s="3" t="inlineStr">
        <is>
          <t>Фібрин2</t>
        </is>
      </c>
      <c r="BE1" s="3" t="inlineStr">
        <is>
          <t>МНВ1</t>
        </is>
      </c>
      <c r="BF1" s="3" t="inlineStr">
        <is>
          <t>МНВ2</t>
        </is>
      </c>
      <c r="BG1" s="3" t="inlineStr">
        <is>
          <t>Білок1</t>
        </is>
      </c>
      <c r="BH1" s="3" t="inlineStr">
        <is>
          <t>Білок2</t>
        </is>
      </c>
      <c r="BI1" s="3" t="inlineStr">
        <is>
          <t>Сечов1</t>
        </is>
      </c>
      <c r="BJ1" s="3" t="inlineStr">
        <is>
          <t>Сечов2</t>
        </is>
      </c>
      <c r="BK1" s="3" t="inlineStr">
        <is>
          <t>Креат1</t>
        </is>
      </c>
      <c r="BL1" s="3" t="inlineStr">
        <is>
          <t>Креат2</t>
        </is>
      </c>
      <c r="BM1" s="3" t="inlineStr">
        <is>
          <t>БР заг1</t>
        </is>
      </c>
      <c r="BN1" s="3" t="inlineStr">
        <is>
          <t>БРзаг2</t>
        </is>
      </c>
      <c r="BO1" s="3" t="inlineStr">
        <is>
          <t>БРпр1</t>
        </is>
      </c>
      <c r="BP1" s="3" t="inlineStr">
        <is>
          <t>БРпр2</t>
        </is>
      </c>
      <c r="BQ1" s="3" t="inlineStr">
        <is>
          <t>БРнепр1</t>
        </is>
      </c>
      <c r="BR1" s="3" t="inlineStr">
        <is>
          <t>БРнепр2</t>
        </is>
      </c>
      <c r="BS1" s="3" t="inlineStr">
        <is>
          <t>АЛАТ1</t>
        </is>
      </c>
      <c r="BT1" s="3" t="inlineStr">
        <is>
          <t>АЛАТ2</t>
        </is>
      </c>
      <c r="BU1" s="3" t="inlineStr">
        <is>
          <t>АСАТ1</t>
        </is>
      </c>
      <c r="BV1" s="3" t="inlineStr">
        <is>
          <t>АСАТ2</t>
        </is>
      </c>
      <c r="BW1" s="3" t="inlineStr">
        <is>
          <t>Цукор1</t>
        </is>
      </c>
      <c r="BX1" s="3" t="inlineStr">
        <is>
          <t>Цукор2</t>
        </is>
      </c>
      <c r="BY1" s="3" t="inlineStr">
        <is>
          <t>Примітка</t>
        </is>
      </c>
    </row>
    <row r="2" customFormat="1" s="5">
      <c r="A2" s="5" t="n">
        <v>1</v>
      </c>
      <c r="B2" s="5" t="inlineStr">
        <is>
          <t>2377/239</t>
        </is>
      </c>
      <c r="C2" s="5" t="inlineStr">
        <is>
          <t>Федорюк Петро Юрійович</t>
        </is>
      </c>
      <c r="D2" s="5" t="n">
        <v>55</v>
      </c>
      <c r="E2" s="5" t="inlineStr">
        <is>
          <t>ч</t>
        </is>
      </c>
      <c r="F2" s="5" t="inlineStr">
        <is>
          <t>0958469788 дружина Ганна</t>
        </is>
      </c>
      <c r="G2" s="5" t="inlineStr">
        <is>
          <t xml:space="preserve">Негос дв полісегм пнев 4 кл гр </t>
        </is>
      </c>
      <c r="H2" s="5" t="inlineStr">
        <is>
          <t>важкий</t>
        </is>
      </c>
      <c r="I2" s="8" t="inlineStr">
        <is>
          <t>ІІІ-IV</t>
        </is>
      </c>
      <c r="J2" s="5" t="inlineStr">
        <is>
          <t>тромбоз підколінної артерії, гангрена? ТЕЛА? СЛН ГРДС</t>
        </is>
      </c>
      <c r="K2" s="5" t="inlineStr">
        <is>
          <t>ІХС, КС, СН1, НВ ФК2</t>
        </is>
      </c>
      <c r="L2" s="5" t="inlineStr">
        <is>
          <t>20-30%</t>
        </is>
      </c>
      <c r="M2" s="12" t="inlineStr">
        <is>
          <t>сердній</t>
        </is>
      </c>
      <c r="N2" s="5" t="inlineStr">
        <is>
          <t>CO-Rads5</t>
        </is>
      </c>
      <c r="O2" s="5" t="n">
        <v>90</v>
      </c>
      <c r="P2" s="5" t="n">
        <v>98</v>
      </c>
      <c r="R2" s="5" t="n">
        <v>5</v>
      </c>
      <c r="S2" s="6" t="n">
        <v>44616</v>
      </c>
      <c r="T2" s="6" t="n">
        <v>44630</v>
      </c>
      <c r="U2" s="5" t="n">
        <v>14</v>
      </c>
      <c r="V2" s="6" t="n">
        <v>44631</v>
      </c>
      <c r="W2" s="5" t="inlineStr">
        <is>
          <t>4 дні до госп</t>
        </is>
      </c>
      <c r="X2" s="5" t="n">
        <v>3</v>
      </c>
      <c r="Y2" s="15" t="n">
        <v>11</v>
      </c>
      <c r="Z2" s="5" t="inlineStr">
        <is>
          <t>140/100</t>
        </is>
      </c>
      <c r="AA2" s="5" t="inlineStr">
        <is>
          <t>150/100</t>
        </is>
      </c>
      <c r="AB2" s="5" t="inlineStr">
        <is>
          <t>14 днів</t>
        </is>
      </c>
      <c r="AC2" s="5" t="inlineStr">
        <is>
          <t>помірні інтерст зміни, бльше в базально-латер і передн правих відділах</t>
        </is>
      </c>
      <c r="AD2" s="5" t="n">
        <v>157</v>
      </c>
      <c r="AE2" s="5" t="n">
        <v>144</v>
      </c>
      <c r="AF2" s="5" t="n">
        <v>5.1</v>
      </c>
      <c r="AG2" s="5" t="n">
        <v>11</v>
      </c>
      <c r="AH2" s="5" t="n">
        <v>4</v>
      </c>
      <c r="AI2" s="5" t="n">
        <v>13</v>
      </c>
      <c r="AJ2" s="5" t="n">
        <v>58</v>
      </c>
      <c r="AK2" s="5" t="n">
        <v>74</v>
      </c>
      <c r="AL2" s="5" t="n">
        <v>30</v>
      </c>
      <c r="AM2" s="5" t="n">
        <v>8</v>
      </c>
      <c r="AN2" s="5" t="n">
        <v>13</v>
      </c>
      <c r="AO2" s="5" t="n">
        <v>23</v>
      </c>
      <c r="AP2" s="5" t="n">
        <v>32</v>
      </c>
      <c r="AQ2" s="5" t="n">
        <v>6</v>
      </c>
      <c r="AR2" s="5" t="n">
        <v>40.8</v>
      </c>
      <c r="AX2" s="5" t="n">
        <v>0.126</v>
      </c>
      <c r="AY2" s="5" t="n">
        <v>48</v>
      </c>
      <c r="AZ2" s="5" t="n">
        <v>45</v>
      </c>
      <c r="BA2" s="5" t="n">
        <v>26.4</v>
      </c>
      <c r="BB2" s="5" t="n">
        <v>14.3</v>
      </c>
      <c r="BC2" s="5" t="n">
        <v>4</v>
      </c>
      <c r="BD2" s="5" t="n">
        <v>2.3</v>
      </c>
      <c r="BE2" s="5" t="n">
        <v>3.1</v>
      </c>
      <c r="BF2" s="5" t="n">
        <v>239</v>
      </c>
      <c r="BG2" s="5" t="n">
        <v>70</v>
      </c>
      <c r="BH2" s="5" t="n">
        <v>63</v>
      </c>
      <c r="BI2" s="5" t="n">
        <v>5.1</v>
      </c>
      <c r="BJ2" s="5" t="n">
        <v>6.5</v>
      </c>
      <c r="BK2" s="5" t="n">
        <v>84</v>
      </c>
      <c r="BL2" s="5" t="n">
        <v>92</v>
      </c>
      <c r="BM2" s="5" t="n">
        <v>15.3</v>
      </c>
      <c r="BN2" s="5" t="n">
        <v>17</v>
      </c>
      <c r="BO2" s="5" t="n">
        <v>3.4</v>
      </c>
      <c r="BP2" s="5" t="n">
        <v>5.1</v>
      </c>
      <c r="BQ2" s="5" t="n">
        <v>10.2</v>
      </c>
      <c r="BR2" s="5" t="n">
        <v>1.8</v>
      </c>
      <c r="BS2" s="5" t="n">
        <v>52.4</v>
      </c>
      <c r="BT2" s="5" t="n">
        <v>45.2</v>
      </c>
      <c r="BU2" s="5" t="n">
        <v>36.2</v>
      </c>
      <c r="BV2" s="5" t="n">
        <v>24.1</v>
      </c>
      <c r="BW2" s="5" t="n">
        <v>7.6</v>
      </c>
      <c r="BX2" s="5" t="n">
        <v>6.2</v>
      </c>
    </row>
    <row r="3">
      <c r="A3" t="n">
        <v>2</v>
      </c>
      <c r="B3" t="inlineStr">
        <is>
          <t>1121/19</t>
        </is>
      </c>
      <c r="C3" t="inlineStr">
        <is>
          <t>Загул Григорій Сергійович</t>
        </is>
      </c>
      <c r="D3" t="n">
        <v>43</v>
      </c>
      <c r="E3" t="inlineStr">
        <is>
          <t>ч</t>
        </is>
      </c>
      <c r="F3" t="inlineStr">
        <is>
          <t>0671778486, 0994887663 дружина Оксана</t>
        </is>
      </c>
      <c r="G3" t="inlineStr">
        <is>
          <t>Негосп полісег пневм 4 кл гр</t>
        </is>
      </c>
      <c r="H3" t="inlineStr">
        <is>
          <t>важкий</t>
        </is>
      </c>
      <c r="I3" s="1" t="inlineStr">
        <is>
          <t>ІІ-ІІІ</t>
        </is>
      </c>
      <c r="K3" t="inlineStr">
        <is>
          <t>ЦД, ІІ тип</t>
        </is>
      </c>
      <c r="L3" t="inlineStr">
        <is>
          <t>30-35%</t>
        </is>
      </c>
      <c r="M3" t="inlineStr">
        <is>
          <t>середній</t>
        </is>
      </c>
      <c r="N3" t="inlineStr">
        <is>
          <t>CO-Rads6</t>
        </is>
      </c>
      <c r="O3" t="n">
        <v>83</v>
      </c>
      <c r="P3" t="n">
        <v>95</v>
      </c>
      <c r="Q3" t="n">
        <v>95</v>
      </c>
      <c r="R3" t="n">
        <v>12</v>
      </c>
      <c r="S3" s="2" t="n">
        <v>44614</v>
      </c>
      <c r="T3" s="2" t="n">
        <v>44636</v>
      </c>
      <c r="U3" t="n">
        <v>22</v>
      </c>
      <c r="W3" t="inlineStr">
        <is>
          <t>5 до гос</t>
        </is>
      </c>
      <c r="X3" t="n">
        <v>3</v>
      </c>
      <c r="Y3" t="n">
        <v>19</v>
      </c>
      <c r="Z3" t="inlineStr">
        <is>
          <t>130/80</t>
        </is>
      </c>
      <c r="AA3" t="inlineStr">
        <is>
          <t>130/80</t>
        </is>
      </c>
      <c r="AB3" t="inlineStr">
        <is>
          <t>12 днів</t>
        </is>
      </c>
      <c r="AC3" t="inlineStr">
        <is>
          <t>розповсю консолідації в баз сегментах</t>
        </is>
      </c>
      <c r="AD3" t="n">
        <v>145</v>
      </c>
      <c r="AE3" t="n">
        <v>137</v>
      </c>
      <c r="AF3" t="n">
        <v>12.1</v>
      </c>
      <c r="AG3" t="n">
        <v>19.1</v>
      </c>
      <c r="AH3" t="n">
        <v>9</v>
      </c>
      <c r="AI3" t="n">
        <v>8</v>
      </c>
      <c r="AJ3" t="n">
        <v>84</v>
      </c>
      <c r="AK3" t="n">
        <v>79</v>
      </c>
      <c r="AL3" t="n">
        <v>9.800000000000001</v>
      </c>
      <c r="AM3" t="n">
        <v>11</v>
      </c>
      <c r="AN3" t="n">
        <v>28</v>
      </c>
      <c r="AO3" t="n">
        <v>5</v>
      </c>
      <c r="AP3" t="n">
        <v>151.16</v>
      </c>
      <c r="AQ3" t="n">
        <v>1</v>
      </c>
      <c r="AR3" t="n">
        <v>98.43000000000001</v>
      </c>
      <c r="AS3" t="n">
        <v>23.5</v>
      </c>
      <c r="AT3" t="n">
        <v>839</v>
      </c>
      <c r="AU3" t="n">
        <v>3316</v>
      </c>
      <c r="AV3" t="n">
        <v>744</v>
      </c>
      <c r="AW3" t="n">
        <v>1265</v>
      </c>
      <c r="AY3" t="n">
        <v>42.2</v>
      </c>
      <c r="AZ3" t="n">
        <v>57</v>
      </c>
      <c r="BA3" t="n">
        <v>18</v>
      </c>
      <c r="BB3" t="n">
        <v>11.1</v>
      </c>
      <c r="BC3" t="n">
        <v>5</v>
      </c>
      <c r="BD3" t="n">
        <v>3.4</v>
      </c>
      <c r="BE3" t="n">
        <v>1.22</v>
      </c>
      <c r="BF3" t="n">
        <v>1.08</v>
      </c>
      <c r="BG3" t="n">
        <v>61.8</v>
      </c>
      <c r="BH3" t="n">
        <v>63</v>
      </c>
      <c r="BI3" t="n">
        <v>6.6</v>
      </c>
      <c r="BJ3" t="n">
        <v>4</v>
      </c>
      <c r="BK3" t="n">
        <v>75.40000000000001</v>
      </c>
      <c r="BL3" t="n">
        <v>73</v>
      </c>
      <c r="BM3" t="n">
        <v>61.8</v>
      </c>
      <c r="BN3" t="n">
        <v>13.6</v>
      </c>
      <c r="BO3" t="n">
        <v>2.8</v>
      </c>
      <c r="BP3" t="n">
        <v>3.4</v>
      </c>
      <c r="BQ3" t="n">
        <v>1.8</v>
      </c>
      <c r="BR3" t="n">
        <v>10.2</v>
      </c>
      <c r="BS3" t="n">
        <v>22</v>
      </c>
      <c r="BT3" t="n">
        <v>82.40000000000001</v>
      </c>
      <c r="BU3" t="n">
        <v>44</v>
      </c>
      <c r="BV3" t="n">
        <v>66.40000000000001</v>
      </c>
      <c r="BW3" t="n">
        <v>19.9</v>
      </c>
      <c r="BX3" t="n">
        <v>19.3</v>
      </c>
      <c r="BY3" t="inlineStr">
        <is>
          <t>отримував актемра, часті носові кровотечі, втрата нюху</t>
        </is>
      </c>
    </row>
    <row r="4">
      <c r="A4" t="n">
        <v>2</v>
      </c>
      <c r="B4" t="inlineStr">
        <is>
          <t>283/674</t>
        </is>
      </c>
      <c r="C4" t="inlineStr">
        <is>
          <t>Бондара Лариса Павлівна</t>
        </is>
      </c>
      <c r="D4" t="n">
        <v>54</v>
      </c>
      <c r="E4" t="inlineStr">
        <is>
          <t>ж</t>
        </is>
      </c>
      <c r="F4" t="inlineStr">
        <is>
          <t>0958768045, чоловік Степан 0951784726</t>
        </is>
      </c>
      <c r="G4" t="inlineStr">
        <is>
          <t>Негос полісегм пнев 4 кл гр</t>
        </is>
      </c>
      <c r="H4" t="inlineStr">
        <is>
          <t>важкий</t>
        </is>
      </c>
      <c r="I4" t="inlineStr">
        <is>
          <t>ІІ</t>
        </is>
      </c>
      <c r="K4" t="inlineStr">
        <is>
          <t>ІХС. КС, ГХІІ, ГЛШ СНІІа, порушення толерантності до глюкози</t>
        </is>
      </c>
      <c r="L4" t="inlineStr">
        <is>
          <t>70-80%</t>
        </is>
      </c>
      <c r="M4" t="inlineStr">
        <is>
          <t>критичний</t>
        </is>
      </c>
      <c r="N4" t="inlineStr">
        <is>
          <t>КТ-4, CO-Rads6</t>
        </is>
      </c>
      <c r="O4" t="n">
        <v>78</v>
      </c>
      <c r="P4" t="n">
        <v>90</v>
      </c>
      <c r="Q4" t="n">
        <v>93</v>
      </c>
      <c r="R4" t="n">
        <v>15</v>
      </c>
      <c r="S4" s="2" t="n">
        <v>44560</v>
      </c>
      <c r="T4" s="2" t="n">
        <v>44579</v>
      </c>
      <c r="U4" t="n">
        <v>20</v>
      </c>
      <c r="W4" t="inlineStr">
        <is>
          <t>10 до гос</t>
        </is>
      </c>
      <c r="X4" t="n">
        <v>3</v>
      </c>
      <c r="Y4" t="n">
        <v>17</v>
      </c>
      <c r="Z4" t="inlineStr">
        <is>
          <t>150/100</t>
        </is>
      </c>
      <c r="AA4" t="inlineStr">
        <is>
          <t>140/90</t>
        </is>
      </c>
      <c r="AB4" t="inlineStr">
        <is>
          <t>14 днів</t>
        </is>
      </c>
      <c r="AC4" t="inlineStr">
        <is>
          <t>компенсаторна емфізема</t>
        </is>
      </c>
      <c r="AD4" t="n">
        <v>137</v>
      </c>
      <c r="AE4" t="n">
        <v>105</v>
      </c>
      <c r="AF4" t="n">
        <v>10.5</v>
      </c>
      <c r="AG4" t="n">
        <v>16.2</v>
      </c>
      <c r="AH4" t="n">
        <v>18</v>
      </c>
      <c r="AI4" t="n">
        <v>7</v>
      </c>
      <c r="AJ4" t="n">
        <v>83</v>
      </c>
      <c r="AK4" t="n">
        <v>89</v>
      </c>
      <c r="AL4" t="n">
        <v>12</v>
      </c>
      <c r="AM4" t="n">
        <v>3</v>
      </c>
      <c r="AN4" t="n">
        <v>20</v>
      </c>
      <c r="AO4" t="n">
        <v>2</v>
      </c>
      <c r="AP4" t="n">
        <v>3.63</v>
      </c>
      <c r="AQ4" t="n">
        <v>6</v>
      </c>
      <c r="AY4" t="n">
        <v>40</v>
      </c>
      <c r="AZ4" t="n">
        <v>37</v>
      </c>
      <c r="BA4" t="n">
        <v>10.6</v>
      </c>
      <c r="BB4" t="n">
        <v>12.3</v>
      </c>
      <c r="BC4" t="n">
        <v>5.29</v>
      </c>
      <c r="BD4" t="n">
        <v>3.27</v>
      </c>
      <c r="BE4" t="n">
        <v>1.03</v>
      </c>
      <c r="BF4" t="n">
        <v>1.18</v>
      </c>
      <c r="BG4" t="n">
        <v>80.5</v>
      </c>
      <c r="BH4" t="n">
        <v>62.7</v>
      </c>
      <c r="BI4" t="n">
        <v>7</v>
      </c>
      <c r="BJ4" t="n">
        <v>10.1</v>
      </c>
      <c r="BK4" t="n">
        <v>80.7</v>
      </c>
      <c r="BL4" t="n">
        <v>117.2</v>
      </c>
      <c r="BM4" t="n">
        <v>11.7</v>
      </c>
      <c r="BN4" t="n">
        <v>18.7</v>
      </c>
      <c r="BO4" t="n">
        <v>2.8</v>
      </c>
      <c r="BP4" t="n">
        <v>6.8</v>
      </c>
      <c r="BR4" t="n">
        <v>11.9</v>
      </c>
      <c r="BS4" t="n">
        <v>21.9</v>
      </c>
      <c r="BT4" t="n">
        <v>37.4</v>
      </c>
      <c r="BU4" t="n">
        <v>28.4</v>
      </c>
      <c r="BV4" t="n">
        <v>24.2</v>
      </c>
      <c r="BW4" t="n">
        <v>6.2</v>
      </c>
      <c r="BX4" t="n">
        <v>7.7</v>
      </c>
      <c r="BY4" t="inlineStr">
        <is>
          <t>часта втрата свідомосі в стаціонарі</t>
        </is>
      </c>
    </row>
    <row r="5">
      <c r="A5" t="n">
        <v>2</v>
      </c>
      <c r="B5" t="inlineStr">
        <is>
          <t>2372/513</t>
        </is>
      </c>
      <c r="C5" t="inlineStr">
        <is>
          <t>Ватаманюка Уляна Дмитрівна</t>
        </is>
      </c>
      <c r="D5" t="n">
        <v>68</v>
      </c>
      <c r="E5" t="inlineStr">
        <is>
          <t>ж</t>
        </is>
      </c>
      <c r="F5" t="inlineStr">
        <is>
          <t>0959819331. дочка Валентина 0960845205</t>
        </is>
      </c>
      <c r="G5" t="inlineStr">
        <is>
          <t xml:space="preserve">Негос дв полісегм пнев 4 кл гр </t>
        </is>
      </c>
      <c r="H5" t="inlineStr">
        <is>
          <t>важкий</t>
        </is>
      </c>
      <c r="I5" t="inlineStr">
        <is>
          <t>ІІІ-IV</t>
        </is>
      </c>
      <c r="K5" t="inlineStr">
        <is>
          <t xml:space="preserve">ЦД, ІІ тип, ІХС, Диф кардіоск, стенокар напруги, синусова тахік, ГХІІ, СНІІв </t>
        </is>
      </c>
      <c r="L5" s="4" t="n">
        <v>0.8</v>
      </c>
      <c r="M5" t="inlineStr">
        <is>
          <t>критичний</t>
        </is>
      </c>
      <c r="O5" t="n">
        <v>82</v>
      </c>
      <c r="P5" t="n">
        <v>96</v>
      </c>
      <c r="Q5" t="n">
        <v>93</v>
      </c>
      <c r="R5" t="n">
        <v>15</v>
      </c>
      <c r="S5" s="2" t="n">
        <v>44554</v>
      </c>
      <c r="T5" s="2" t="n">
        <v>44574</v>
      </c>
      <c r="U5" t="n">
        <v>20</v>
      </c>
      <c r="W5" t="inlineStr">
        <is>
          <t>9 до гос</t>
        </is>
      </c>
      <c r="X5" t="n">
        <v>6</v>
      </c>
      <c r="Z5" t="inlineStr">
        <is>
          <t>170/110</t>
        </is>
      </c>
      <c r="AA5" t="inlineStr">
        <is>
          <t>150/100</t>
        </is>
      </c>
      <c r="AB5" s="12" t="inlineStr">
        <is>
          <t>16 днів</t>
        </is>
      </c>
      <c r="AC5" t="inlineStr">
        <is>
          <t>Rо ОГК-процес вираженогоо фіброзоутворення, ознаки емфіземи справа</t>
        </is>
      </c>
      <c r="AD5" t="n">
        <v>87</v>
      </c>
      <c r="AE5" t="n">
        <v>116</v>
      </c>
      <c r="AF5" t="n">
        <v>6.3</v>
      </c>
      <c r="AG5" t="n">
        <v>5.6</v>
      </c>
      <c r="AH5" t="n">
        <v>6</v>
      </c>
      <c r="AI5" t="n">
        <v>9</v>
      </c>
      <c r="AJ5" t="n">
        <v>85</v>
      </c>
      <c r="AK5" t="n">
        <v>64</v>
      </c>
      <c r="AL5" t="n">
        <v>8</v>
      </c>
      <c r="AM5" t="n">
        <v>25</v>
      </c>
      <c r="AN5" t="n">
        <v>37</v>
      </c>
      <c r="AO5" t="n">
        <v>43</v>
      </c>
      <c r="AP5" t="n">
        <v>9</v>
      </c>
      <c r="AQ5" t="n">
        <v>6</v>
      </c>
      <c r="AY5" t="n">
        <v>22</v>
      </c>
      <c r="AZ5" t="n">
        <v>34</v>
      </c>
      <c r="BA5" t="n">
        <v>18.3</v>
      </c>
      <c r="BB5" t="n">
        <v>11</v>
      </c>
      <c r="BC5" t="n">
        <v>2.5</v>
      </c>
      <c r="BD5" t="n">
        <v>4</v>
      </c>
      <c r="BE5" t="n">
        <v>1.69</v>
      </c>
      <c r="BF5" t="n">
        <v>1.07</v>
      </c>
      <c r="BG5" t="n">
        <v>62.6</v>
      </c>
      <c r="BH5" t="n">
        <v>63.7</v>
      </c>
      <c r="BI5" t="n">
        <v>9.5</v>
      </c>
      <c r="BJ5" t="n">
        <v>12.5</v>
      </c>
      <c r="BK5" t="n">
        <v>168.1</v>
      </c>
      <c r="BL5" t="n">
        <v>105.1</v>
      </c>
      <c r="BM5" t="n">
        <v>11.9</v>
      </c>
      <c r="BN5" t="n">
        <v>13.6</v>
      </c>
      <c r="BO5" t="n">
        <v>3.4</v>
      </c>
      <c r="BP5" t="n">
        <v>5.1</v>
      </c>
      <c r="BQ5" t="n">
        <v>8.5</v>
      </c>
      <c r="BR5" t="n">
        <v>8.5</v>
      </c>
      <c r="BS5" t="n">
        <v>38.7</v>
      </c>
      <c r="BT5" t="n">
        <v>52.4</v>
      </c>
      <c r="BU5" t="n">
        <v>19.1</v>
      </c>
      <c r="BV5" t="n">
        <v>36.2</v>
      </c>
      <c r="BW5" t="n">
        <v>15.5</v>
      </c>
      <c r="BX5" t="n">
        <v>15.5</v>
      </c>
      <c r="BY5" t="inlineStr">
        <is>
          <t>панкреонекроз</t>
        </is>
      </c>
    </row>
    <row r="6">
      <c r="A6" t="n">
        <v>2</v>
      </c>
      <c r="B6" t="inlineStr">
        <is>
          <t>1441/671</t>
        </is>
      </c>
      <c r="C6" t="inlineStr">
        <is>
          <t>Бабійа Лариса Олегівна</t>
        </is>
      </c>
      <c r="D6" t="n">
        <v>65</v>
      </c>
      <c r="E6" t="inlineStr">
        <is>
          <t>ж</t>
        </is>
      </c>
      <c r="F6" t="inlineStr">
        <is>
          <t>0952294866, дочка Дарина 0678360161</t>
        </is>
      </c>
      <c r="G6" t="inlineStr">
        <is>
          <t xml:space="preserve">Негос дв полісегм пнев 4 кл гр </t>
        </is>
      </c>
      <c r="H6" t="inlineStr">
        <is>
          <t>важкий</t>
        </is>
      </c>
      <c r="I6" t="inlineStr">
        <is>
          <t>ІІ-ІІІ</t>
        </is>
      </c>
      <c r="K6" t="inlineStr">
        <is>
          <t>ІХС ДК ГХІІ-ІІІ СНІІа ГЛШст3</t>
        </is>
      </c>
      <c r="L6" s="21" t="n"/>
      <c r="O6" t="n">
        <v>80</v>
      </c>
      <c r="P6" t="n">
        <v>97</v>
      </c>
      <c r="Q6" t="n">
        <v>93</v>
      </c>
      <c r="R6" t="n">
        <v>7</v>
      </c>
      <c r="S6" s="2" t="n">
        <v>44604</v>
      </c>
      <c r="T6" s="2" t="n">
        <v>44631</v>
      </c>
      <c r="U6" t="n">
        <v>27</v>
      </c>
      <c r="X6" t="inlineStr">
        <is>
          <t>5 до гос</t>
        </is>
      </c>
      <c r="Y6" t="n">
        <v>4</v>
      </c>
      <c r="Z6" t="inlineStr">
        <is>
          <t>160/100</t>
        </is>
      </c>
      <c r="AA6" t="inlineStr">
        <is>
          <t>130/90</t>
        </is>
      </c>
      <c r="AB6" s="12" t="n">
        <v>27</v>
      </c>
      <c r="AC6" t="inlineStr">
        <is>
          <t>помірні інтерст зміни з множ кортикал консолідаціями</t>
        </is>
      </c>
      <c r="AD6" t="n">
        <v>126</v>
      </c>
      <c r="AE6" t="n">
        <v>124</v>
      </c>
      <c r="AF6" t="n">
        <v>10.7</v>
      </c>
      <c r="AG6" t="n">
        <v>6.7</v>
      </c>
      <c r="AH6" t="n">
        <v>15</v>
      </c>
      <c r="AI6" t="n">
        <v>8</v>
      </c>
      <c r="AJ6" t="n">
        <v>77</v>
      </c>
      <c r="AK6" t="n">
        <v>82</v>
      </c>
      <c r="AL6" t="n">
        <v>5</v>
      </c>
      <c r="AM6" t="n">
        <v>6</v>
      </c>
      <c r="AN6" t="n">
        <v>20</v>
      </c>
      <c r="AO6" t="n">
        <v>48</v>
      </c>
      <c r="AQ6" t="n">
        <v>9</v>
      </c>
      <c r="AY6" t="n">
        <v>40</v>
      </c>
      <c r="AZ6" t="n">
        <v>48</v>
      </c>
      <c r="BA6" t="n">
        <v>11.8</v>
      </c>
      <c r="BB6" t="n">
        <v>22.6</v>
      </c>
      <c r="BC6" t="n">
        <v>4.29</v>
      </c>
      <c r="BD6" t="n">
        <v>3.37</v>
      </c>
      <c r="BE6" t="n">
        <v>1.15</v>
      </c>
      <c r="BF6" t="n">
        <v>2.18</v>
      </c>
      <c r="BG6" t="n">
        <v>72</v>
      </c>
      <c r="BH6" t="n">
        <v>69</v>
      </c>
      <c r="BI6" t="n">
        <v>5.2</v>
      </c>
      <c r="BJ6" t="n">
        <v>7.4</v>
      </c>
      <c r="BK6" t="n">
        <v>76</v>
      </c>
      <c r="BL6" t="n">
        <v>101</v>
      </c>
      <c r="BM6" t="n">
        <v>13.6</v>
      </c>
      <c r="BN6" t="n">
        <v>15.3</v>
      </c>
      <c r="BO6" t="n">
        <v>3.4</v>
      </c>
      <c r="BP6" t="n">
        <v>5.1</v>
      </c>
      <c r="BQ6" t="n">
        <v>10.2</v>
      </c>
      <c r="BR6" t="n">
        <v>10.2</v>
      </c>
      <c r="BS6" t="n">
        <v>97.7</v>
      </c>
      <c r="BT6" t="n">
        <v>60.3</v>
      </c>
      <c r="BU6" t="n">
        <v>42.2</v>
      </c>
      <c r="BV6" t="n">
        <v>51.4</v>
      </c>
      <c r="BW6" t="n">
        <v>4.4</v>
      </c>
      <c r="BX6" t="n">
        <v>6.9</v>
      </c>
    </row>
    <row r="7" customFormat="1" s="5">
      <c r="A7" s="5" t="n">
        <v>1</v>
      </c>
      <c r="B7" s="5" t="inlineStr">
        <is>
          <t>2573/354</t>
        </is>
      </c>
      <c r="C7" s="5" t="inlineStr">
        <is>
          <t>Ковалика ганна Андріївна</t>
        </is>
      </c>
      <c r="D7" s="5" t="n">
        <v>66</v>
      </c>
      <c r="E7" s="5" t="inlineStr">
        <is>
          <t>ж</t>
        </is>
      </c>
      <c r="F7" s="5" t="inlineStr">
        <is>
          <t>0959922983 сестра Софія</t>
        </is>
      </c>
      <c r="G7" s="5" t="inlineStr">
        <is>
          <t xml:space="preserve">Негос дв полісегм пнев 4 кл гр </t>
        </is>
      </c>
      <c r="H7" s="5" t="inlineStr">
        <is>
          <t>важкий</t>
        </is>
      </c>
      <c r="I7" s="5" t="inlineStr">
        <is>
          <t>ІІ-ІІІ</t>
        </is>
      </c>
      <c r="J7" s="5" t="inlineStr">
        <is>
          <t>Респірат дестрес синдром, емфізема легень, СЛН</t>
        </is>
      </c>
      <c r="K7" s="5" t="inlineStr">
        <is>
          <t>ІХС ДК ГХІІ ГЛШ СНІІ ФК2, ЦД ІІ</t>
        </is>
      </c>
      <c r="L7" s="5" t="inlineStr">
        <is>
          <t>30-40%</t>
        </is>
      </c>
      <c r="M7" s="5" t="inlineStr">
        <is>
          <t>середній</t>
        </is>
      </c>
      <c r="N7" s="5" t="inlineStr">
        <is>
          <t>КТ-2, СО-Rads6</t>
        </is>
      </c>
      <c r="O7" s="5" t="n">
        <v>72</v>
      </c>
      <c r="P7" s="5" t="n">
        <v>88</v>
      </c>
      <c r="R7" s="12" t="inlineStr">
        <is>
          <t xml:space="preserve">8(4дні лікув в Садгорі) </t>
        </is>
      </c>
      <c r="S7" s="6" t="n">
        <v>44545</v>
      </c>
      <c r="T7" s="6" t="n">
        <v>44556</v>
      </c>
      <c r="U7" s="12" t="inlineStr">
        <is>
          <t>9(5 у реан)</t>
        </is>
      </c>
      <c r="V7" s="6" t="n">
        <v>44556</v>
      </c>
      <c r="Y7" s="5" t="n">
        <v>9</v>
      </c>
      <c r="Z7" s="5" t="inlineStr">
        <is>
          <t>140/90</t>
        </is>
      </c>
      <c r="AA7" s="5" t="inlineStr">
        <is>
          <t>170/100</t>
        </is>
      </c>
      <c r="AB7" s="5" t="n">
        <v>9</v>
      </c>
      <c r="AC7" s="5" t="inlineStr">
        <is>
          <t>субплевральні консолідації двобічно</t>
        </is>
      </c>
      <c r="AD7" s="5" t="n">
        <v>134</v>
      </c>
      <c r="AE7" s="5" t="n">
        <v>120</v>
      </c>
      <c r="AF7" s="5" t="n">
        <v>15.1</v>
      </c>
      <c r="AG7" s="5" t="n">
        <v>13</v>
      </c>
      <c r="AH7" s="5" t="n">
        <v>16</v>
      </c>
      <c r="AI7" s="5" t="n">
        <v>14</v>
      </c>
      <c r="AJ7" s="5" t="n">
        <v>78</v>
      </c>
      <c r="AK7" s="5" t="n">
        <v>75</v>
      </c>
      <c r="AL7" s="5" t="n">
        <v>6</v>
      </c>
      <c r="AM7" s="5" t="n">
        <v>9</v>
      </c>
      <c r="AN7" s="5" t="n">
        <v>49</v>
      </c>
      <c r="AO7" s="5" t="n">
        <v>73</v>
      </c>
      <c r="AP7" s="5" t="n">
        <v>12</v>
      </c>
      <c r="AQ7" s="5" t="n">
        <v>6</v>
      </c>
      <c r="AU7" s="5" t="n">
        <v>8000</v>
      </c>
      <c r="AY7" s="5" t="n">
        <v>39</v>
      </c>
      <c r="AZ7" s="5" t="n">
        <v>36</v>
      </c>
      <c r="BA7" s="5" t="n">
        <v>9.1</v>
      </c>
      <c r="BB7" s="5" t="n">
        <v>12</v>
      </c>
      <c r="BC7" s="5" t="n">
        <v>5</v>
      </c>
      <c r="BD7" s="5" t="n">
        <v>3</v>
      </c>
      <c r="BE7" s="5" t="n">
        <v>0.9</v>
      </c>
      <c r="BF7" s="17" t="n">
        <v>42005</v>
      </c>
      <c r="BG7" s="5" t="n">
        <v>73</v>
      </c>
      <c r="BH7" s="5" t="n">
        <v>64.59999999999999</v>
      </c>
      <c r="BI7" s="5" t="n">
        <v>14</v>
      </c>
      <c r="BJ7" s="5" t="n">
        <v>21.4</v>
      </c>
      <c r="BK7" s="5" t="n">
        <v>130</v>
      </c>
      <c r="BL7" s="5" t="n">
        <v>172</v>
      </c>
      <c r="BM7" s="5" t="n">
        <v>11.9</v>
      </c>
      <c r="BN7" s="5" t="n">
        <v>15.3</v>
      </c>
      <c r="BO7" s="5" t="n">
        <v>3.4</v>
      </c>
      <c r="BP7" s="12" t="inlineStr">
        <is>
          <t>OK</t>
        </is>
      </c>
      <c r="BQ7" s="5" t="n">
        <v>8.5</v>
      </c>
      <c r="BR7" s="5" t="n">
        <v>10.2</v>
      </c>
      <c r="BS7" s="5" t="n">
        <v>112</v>
      </c>
      <c r="BT7" s="5" t="n">
        <v>43</v>
      </c>
      <c r="BU7" s="5" t="n">
        <v>85.09999999999999</v>
      </c>
      <c r="BV7" s="5" t="n">
        <v>24</v>
      </c>
      <c r="BW7" s="5" t="n">
        <v>33.8</v>
      </c>
      <c r="BX7" s="5" t="n">
        <v>22.6</v>
      </c>
    </row>
    <row r="8">
      <c r="A8" t="n">
        <v>2</v>
      </c>
      <c r="B8" t="inlineStr">
        <is>
          <t>1762/555</t>
        </is>
      </c>
      <c r="C8" t="inlineStr">
        <is>
          <t>Височан Віктор Володимирович</t>
        </is>
      </c>
      <c r="D8" t="n">
        <v>59</v>
      </c>
      <c r="E8" t="inlineStr">
        <is>
          <t>ч</t>
        </is>
      </c>
      <c r="F8" t="inlineStr">
        <is>
          <t>0998073702, дружина Наталія 0998382226</t>
        </is>
      </c>
      <c r="G8" t="inlineStr">
        <is>
          <t xml:space="preserve">Негос дв полісегм пнев 4 кл гр </t>
        </is>
      </c>
      <c r="H8" t="inlineStr">
        <is>
          <t>важкий</t>
        </is>
      </c>
      <c r="I8" t="inlineStr">
        <is>
          <t>ІІ-ІІІ</t>
        </is>
      </c>
      <c r="K8" t="inlineStr">
        <is>
          <t>ІХС ДК ГХ ІІа ФК3, ЦД вперше виявлений</t>
        </is>
      </c>
      <c r="L8" t="inlineStr">
        <is>
          <t>60-65%</t>
        </is>
      </c>
      <c r="M8" t="inlineStr">
        <is>
          <t>важкий</t>
        </is>
      </c>
      <c r="N8" t="inlineStr">
        <is>
          <t>КТ-3, СО-Rads5</t>
        </is>
      </c>
      <c r="O8" t="n">
        <v>89</v>
      </c>
      <c r="P8" t="n">
        <v>96</v>
      </c>
      <c r="Q8" t="n">
        <v>96</v>
      </c>
      <c r="R8" t="n">
        <v>7</v>
      </c>
      <c r="S8" s="2" t="n">
        <v>44674</v>
      </c>
      <c r="T8" s="2" t="n">
        <v>44692</v>
      </c>
      <c r="U8" t="n">
        <v>18</v>
      </c>
      <c r="W8" t="inlineStr">
        <is>
          <t>7 дні до госп</t>
        </is>
      </c>
      <c r="Y8" t="n">
        <v>4</v>
      </c>
      <c r="Z8" t="inlineStr">
        <is>
          <t>130/80</t>
        </is>
      </c>
      <c r="AA8" t="inlineStr">
        <is>
          <t>130/80</t>
        </is>
      </c>
      <c r="AB8" t="n">
        <v>9</v>
      </c>
      <c r="AC8" t="inlineStr">
        <is>
          <t>помірні інтер зміни,більше у верхій долі правої легені</t>
        </is>
      </c>
      <c r="AD8" t="n">
        <v>151</v>
      </c>
      <c r="AE8" t="n">
        <v>151</v>
      </c>
      <c r="AF8" t="n">
        <v>14.3</v>
      </c>
      <c r="AG8" t="n">
        <v>15.5</v>
      </c>
      <c r="AH8" t="n">
        <v>11</v>
      </c>
      <c r="AI8" t="n">
        <v>8</v>
      </c>
      <c r="AJ8" t="n">
        <v>73</v>
      </c>
      <c r="AK8" t="n">
        <v>77</v>
      </c>
      <c r="AL8" t="n">
        <v>11</v>
      </c>
      <c r="AM8" t="n">
        <v>13</v>
      </c>
      <c r="AN8" t="n">
        <v>45</v>
      </c>
      <c r="AO8" t="n">
        <v>20</v>
      </c>
      <c r="AP8" t="n">
        <v>6</v>
      </c>
      <c r="AQ8" t="n">
        <v>6</v>
      </c>
      <c r="AU8" t="n">
        <v>183</v>
      </c>
      <c r="AY8" t="n">
        <v>44.9</v>
      </c>
      <c r="AZ8" t="n">
        <v>44.5</v>
      </c>
      <c r="BA8" t="n">
        <v>11.3</v>
      </c>
      <c r="BB8" t="n">
        <v>11.2</v>
      </c>
      <c r="BC8" t="n">
        <v>3.24</v>
      </c>
      <c r="BD8" t="n">
        <v>3.12</v>
      </c>
      <c r="BE8" t="n">
        <v>1.09</v>
      </c>
      <c r="BF8" t="n">
        <v>1.09</v>
      </c>
      <c r="BG8" t="n">
        <v>76</v>
      </c>
      <c r="BH8" t="n">
        <v>58.1</v>
      </c>
      <c r="BI8" t="n">
        <v>5.7</v>
      </c>
      <c r="BJ8" t="n">
        <v>6.1</v>
      </c>
      <c r="BK8" t="n">
        <v>98</v>
      </c>
      <c r="BL8" t="n">
        <v>97.8</v>
      </c>
      <c r="BM8" t="n">
        <v>15.3</v>
      </c>
      <c r="BN8" t="n">
        <v>15.3</v>
      </c>
      <c r="BO8" t="n">
        <v>5.1</v>
      </c>
      <c r="BP8" t="n">
        <v>5.1</v>
      </c>
      <c r="BQ8" t="n">
        <v>10.2</v>
      </c>
      <c r="BR8" t="n">
        <v>10.2</v>
      </c>
      <c r="BS8" t="n">
        <v>60.4</v>
      </c>
      <c r="BT8" t="n">
        <v>85.40000000000001</v>
      </c>
      <c r="BU8" t="n">
        <v>37.4</v>
      </c>
      <c r="BV8" t="n">
        <v>48.2</v>
      </c>
      <c r="BW8" t="n">
        <v>5.9</v>
      </c>
      <c r="BX8" t="n">
        <v>12.7</v>
      </c>
      <c r="BY8" t="inlineStr">
        <is>
          <t>глюкозурія, кетонові тіла в сечі, ЦД, фібриляція передс</t>
        </is>
      </c>
    </row>
    <row r="9">
      <c r="A9" t="n">
        <v>2</v>
      </c>
      <c r="B9" t="inlineStr">
        <is>
          <t>2664/348</t>
        </is>
      </c>
      <c r="C9" t="inlineStr">
        <is>
          <t>Дзюбаа Ірина Іванівна</t>
        </is>
      </c>
      <c r="D9" t="n">
        <v>59</v>
      </c>
      <c r="E9" t="inlineStr">
        <is>
          <t>ж</t>
        </is>
      </c>
      <c r="F9" t="inlineStr">
        <is>
          <t>0637258771, син Сергій 0968413301</t>
        </is>
      </c>
      <c r="G9" t="inlineStr">
        <is>
          <t xml:space="preserve">Негос дв полісегм пнев 3 кл гр </t>
        </is>
      </c>
      <c r="H9" t="inlineStr">
        <is>
          <t>серед важ</t>
        </is>
      </c>
      <c r="I9" t="inlineStr">
        <is>
          <t>І</t>
        </is>
      </c>
      <c r="K9" t="inlineStr">
        <is>
          <t>ІХС ДК ГХІІ ГЛШ СНІІа ФК3, полімедик алергія,ерозивий г/дуоденіт</t>
        </is>
      </c>
      <c r="L9" t="inlineStr">
        <is>
          <t>до 17%</t>
        </is>
      </c>
      <c r="M9" t="inlineStr">
        <is>
          <t>легкий</t>
        </is>
      </c>
      <c r="N9" t="inlineStr">
        <is>
          <t>КТ-1, СО-Rads5</t>
        </is>
      </c>
      <c r="O9" t="n">
        <v>90</v>
      </c>
      <c r="P9" t="n">
        <v>96</v>
      </c>
      <c r="Q9" t="n">
        <v>94</v>
      </c>
      <c r="R9" t="n">
        <v>9</v>
      </c>
      <c r="S9" s="2" t="n">
        <v>44699</v>
      </c>
      <c r="T9" s="2" t="n">
        <v>44709</v>
      </c>
      <c r="U9" t="n">
        <v>10</v>
      </c>
      <c r="W9" t="inlineStr">
        <is>
          <t>9 днів до госп</t>
        </is>
      </c>
      <c r="Y9" t="n">
        <v>3</v>
      </c>
      <c r="Z9" t="inlineStr">
        <is>
          <t>140/80</t>
        </is>
      </c>
      <c r="AA9" t="inlineStr">
        <is>
          <t>120/80</t>
        </is>
      </c>
      <c r="AB9" t="n">
        <v>6</v>
      </c>
      <c r="AC9" t="inlineStr">
        <is>
          <t>незначні інтерст зміни в базальних правих сегментах, ст.розрішення</t>
        </is>
      </c>
      <c r="AD9" t="n">
        <v>130</v>
      </c>
      <c r="AE9" t="n">
        <v>137</v>
      </c>
      <c r="AF9" t="n">
        <v>5.4</v>
      </c>
      <c r="AG9" t="n">
        <v>7.1</v>
      </c>
      <c r="AH9" t="n">
        <v>8</v>
      </c>
      <c r="AI9" t="n">
        <v>9</v>
      </c>
      <c r="AJ9" t="n">
        <v>71</v>
      </c>
      <c r="AK9" t="n">
        <v>47</v>
      </c>
      <c r="AL9" t="n">
        <v>17</v>
      </c>
      <c r="AM9" t="n">
        <v>35</v>
      </c>
      <c r="AN9" t="n">
        <v>14</v>
      </c>
      <c r="AO9" t="n">
        <v>8</v>
      </c>
      <c r="AP9" t="n">
        <v>18</v>
      </c>
      <c r="AQ9" t="n">
        <v>6</v>
      </c>
      <c r="AU9" t="n">
        <v>3028</v>
      </c>
      <c r="AV9" t="n">
        <v>1370</v>
      </c>
      <c r="AY9" t="n">
        <v>38</v>
      </c>
      <c r="AZ9" t="n">
        <v>42</v>
      </c>
      <c r="BA9" t="n">
        <v>9.5</v>
      </c>
      <c r="BB9" t="n">
        <v>11.2</v>
      </c>
      <c r="BC9" t="n">
        <v>5.04</v>
      </c>
      <c r="BD9" t="n">
        <v>2.4</v>
      </c>
      <c r="BE9" t="n">
        <v>0.9399999999999999</v>
      </c>
      <c r="BF9" t="n">
        <v>1.09</v>
      </c>
      <c r="BG9" t="n">
        <v>88</v>
      </c>
      <c r="BH9" t="n">
        <v>60</v>
      </c>
      <c r="BI9" t="n">
        <v>9.1</v>
      </c>
      <c r="BJ9" t="n">
        <v>7.6</v>
      </c>
      <c r="BK9" t="n">
        <v>118</v>
      </c>
      <c r="BL9" t="n">
        <v>107</v>
      </c>
      <c r="BM9" t="n">
        <v>13.6</v>
      </c>
      <c r="BN9" t="n">
        <v>15.3</v>
      </c>
      <c r="BO9" t="n">
        <v>5.1</v>
      </c>
      <c r="BP9" t="n">
        <v>5.1</v>
      </c>
      <c r="BQ9" t="n">
        <v>8.5</v>
      </c>
      <c r="BR9" t="n">
        <v>10.2</v>
      </c>
      <c r="BS9" t="n">
        <v>54.3</v>
      </c>
      <c r="BT9" t="inlineStr">
        <is>
          <t xml:space="preserve">          36.1</t>
        </is>
      </c>
      <c r="BU9" t="n">
        <v>36.2</v>
      </c>
      <c r="BV9" t="n">
        <v>15.3</v>
      </c>
      <c r="BW9" t="n">
        <v>5.7</v>
      </c>
      <c r="BX9" t="n">
        <v>3.7</v>
      </c>
    </row>
    <row r="10">
      <c r="A10" t="n">
        <v>2</v>
      </c>
      <c r="B10" t="inlineStr">
        <is>
          <t>1806/185</t>
        </is>
      </c>
      <c r="C10" t="inlineStr">
        <is>
          <t>Дзюбаа Юлія Романівна</t>
        </is>
      </c>
      <c r="D10" t="n">
        <v>73</v>
      </c>
      <c r="E10" t="inlineStr">
        <is>
          <t>ж</t>
        </is>
      </c>
      <c r="F10" t="inlineStr">
        <is>
          <t>0963194893, сестра Катерина 0964948214</t>
        </is>
      </c>
      <c r="G10" t="inlineStr">
        <is>
          <t xml:space="preserve">Негос дв полісегм пнев 4 кл гр </t>
        </is>
      </c>
      <c r="H10" t="inlineStr">
        <is>
          <t>важкий</t>
        </is>
      </c>
      <c r="I10" t="inlineStr">
        <is>
          <t>ІІ</t>
        </is>
      </c>
      <c r="K10" t="inlineStr">
        <is>
          <t>ІХС ДК ГХ2 ГЛШст2 КВР3 СН2 ФК3, ЦД2, Cr прав молоч залози після промен терап</t>
        </is>
      </c>
      <c r="O10" t="n">
        <v>78</v>
      </c>
      <c r="P10" t="n">
        <v>94</v>
      </c>
      <c r="Q10" t="n">
        <v>95</v>
      </c>
      <c r="R10" t="n">
        <v>7</v>
      </c>
      <c r="S10" s="2" t="n">
        <v>44677</v>
      </c>
      <c r="T10" s="2" t="n">
        <v>44694</v>
      </c>
      <c r="U10" t="n">
        <v>17</v>
      </c>
      <c r="W10" t="inlineStr">
        <is>
          <t>7 днів до госп</t>
        </is>
      </c>
      <c r="Y10" t="n">
        <v>1</v>
      </c>
      <c r="Z10" t="inlineStr">
        <is>
          <t>140/80</t>
        </is>
      </c>
      <c r="AA10" t="inlineStr">
        <is>
          <t>130/80</t>
        </is>
      </c>
      <c r="AB10" t="n">
        <v>15</v>
      </c>
      <c r="AC10" t="inlineStr">
        <is>
          <t>значні інтер зміни більше в задніх відділах</t>
        </is>
      </c>
      <c r="AD10" t="n">
        <v>119</v>
      </c>
      <c r="AE10" t="n">
        <v>117</v>
      </c>
      <c r="AF10" t="n">
        <v>6.2</v>
      </c>
      <c r="AG10" t="n">
        <v>8.199999999999999</v>
      </c>
      <c r="AH10" t="n">
        <v>11</v>
      </c>
      <c r="AI10" t="n">
        <v>2</v>
      </c>
      <c r="AJ10" t="n">
        <v>70</v>
      </c>
      <c r="AK10" t="n">
        <v>62</v>
      </c>
      <c r="AL10" t="n">
        <v>12</v>
      </c>
      <c r="AM10" t="n">
        <v>27</v>
      </c>
      <c r="AN10" t="n">
        <v>41</v>
      </c>
      <c r="AO10" t="n">
        <v>25</v>
      </c>
      <c r="AP10" t="n">
        <v>9</v>
      </c>
      <c r="AQ10" t="n">
        <v>6</v>
      </c>
      <c r="AY10" t="n">
        <v>35.2</v>
      </c>
      <c r="AZ10" t="n">
        <v>32</v>
      </c>
      <c r="BA10" t="n">
        <v>12.1</v>
      </c>
      <c r="BB10" t="n">
        <v>12.3</v>
      </c>
      <c r="BC10" t="n">
        <v>4.66</v>
      </c>
      <c r="BD10" t="n">
        <v>2.66</v>
      </c>
      <c r="BE10" t="n">
        <v>1.17</v>
      </c>
      <c r="BF10" t="n">
        <v>1.19</v>
      </c>
      <c r="BG10" t="n">
        <v>87</v>
      </c>
      <c r="BH10" t="n">
        <v>62.5</v>
      </c>
      <c r="BI10" t="n">
        <v>5.7</v>
      </c>
      <c r="BJ10" t="n">
        <v>6.2</v>
      </c>
      <c r="BK10" t="n">
        <v>84</v>
      </c>
      <c r="BL10" t="n">
        <v>97.5</v>
      </c>
      <c r="BM10" t="n">
        <v>13.6</v>
      </c>
      <c r="BN10" t="n">
        <v>15.3</v>
      </c>
      <c r="BO10" t="n">
        <v>3.4</v>
      </c>
      <c r="BP10" t="n">
        <v>5.1</v>
      </c>
      <c r="BQ10" t="n">
        <v>10.2</v>
      </c>
      <c r="BR10" t="n">
        <v>10.2</v>
      </c>
      <c r="BS10" t="n">
        <v>34.55</v>
      </c>
      <c r="BT10" t="n">
        <v>45.2</v>
      </c>
      <c r="BU10" t="n">
        <v>18.1</v>
      </c>
      <c r="BV10" t="n">
        <v>24.1</v>
      </c>
      <c r="BW10" t="n">
        <v>8.1</v>
      </c>
      <c r="BX10" t="n">
        <v>4.7</v>
      </c>
    </row>
    <row r="11" customFormat="1" s="5">
      <c r="A11" s="5" t="n">
        <v>1</v>
      </c>
      <c r="B11" s="5" t="inlineStr">
        <is>
          <t>1717/25</t>
        </is>
      </c>
      <c r="C11" s="5" t="inlineStr">
        <is>
          <t>Яremчука Дарина Романівна</t>
        </is>
      </c>
      <c r="D11" s="5" t="n">
        <v>72</v>
      </c>
      <c r="E11" s="5" t="inlineStr">
        <is>
          <t>ж</t>
        </is>
      </c>
      <c r="F11" s="5" t="inlineStr">
        <is>
          <t>0635244106 син Микола</t>
        </is>
      </c>
      <c r="G11" s="5" t="inlineStr">
        <is>
          <t xml:space="preserve">Негос дв полісегм пнев 4 кл гр </t>
        </is>
      </c>
      <c r="H11" s="5" t="inlineStr">
        <is>
          <t>важкий</t>
        </is>
      </c>
      <c r="I11" s="5" t="inlineStr">
        <is>
          <t>ІІІ</t>
        </is>
      </c>
      <c r="J11" s="5" t="inlineStr">
        <is>
          <t>Респірат дестрес синдром, емфізема легень, СЛН ТІШ</t>
        </is>
      </c>
      <c r="K11" s="5" t="inlineStr">
        <is>
          <t>ІХС. Фібриляція передсердь</t>
        </is>
      </c>
      <c r="L11" s="7" t="n">
        <v>0.8</v>
      </c>
      <c r="M11" s="5" t="inlineStr">
        <is>
          <t>критичний</t>
        </is>
      </c>
      <c r="O11" s="5" t="n">
        <v>80</v>
      </c>
      <c r="P11" s="5" t="n">
        <v>94</v>
      </c>
      <c r="R11" s="5" t="n">
        <v>7</v>
      </c>
      <c r="S11" s="6" t="n">
        <v>44512</v>
      </c>
      <c r="T11" s="6" t="n">
        <v>44519</v>
      </c>
      <c r="U11" s="5" t="n">
        <v>7</v>
      </c>
      <c r="V11" s="6" t="n">
        <v>44519</v>
      </c>
      <c r="W11" s="5" t="inlineStr">
        <is>
          <t>4 дні до госп</t>
        </is>
      </c>
      <c r="Y11" s="5" t="n">
        <v>7</v>
      </c>
      <c r="Z11" s="5" t="inlineStr">
        <is>
          <t>140/100</t>
        </is>
      </c>
      <c r="AA11" s="5" t="inlineStr">
        <is>
          <t>130/80</t>
        </is>
      </c>
      <c r="AB11" s="5" t="n">
        <v>7</v>
      </c>
      <c r="AC11" s="5" t="inlineStr">
        <is>
          <t>повторного УЗД не було</t>
        </is>
      </c>
      <c r="AD11" s="5" t="n">
        <v>128</v>
      </c>
      <c r="AF11" s="5" t="n">
        <v>11.6</v>
      </c>
      <c r="AH11" s="5" t="n">
        <v>7</v>
      </c>
      <c r="AJ11" s="5" t="n">
        <v>64</v>
      </c>
      <c r="AL11" s="5" t="n">
        <v>25</v>
      </c>
      <c r="AN11" s="5" t="n">
        <v>40</v>
      </c>
      <c r="AP11" s="5" t="n">
        <v>9</v>
      </c>
      <c r="AY11" s="5" t="n">
        <v>40</v>
      </c>
      <c r="BA11" s="5" t="n">
        <v>9.5</v>
      </c>
      <c r="BC11" s="5" t="n">
        <v>6</v>
      </c>
      <c r="BE11" s="5" t="n">
        <v>0.92</v>
      </c>
      <c r="BG11" s="5" t="n">
        <v>72</v>
      </c>
      <c r="BI11" s="5" t="n">
        <v>10</v>
      </c>
      <c r="BK11" s="5" t="n">
        <v>129</v>
      </c>
      <c r="BM11" s="5" t="n">
        <v>11.9</v>
      </c>
      <c r="BO11" s="5" t="n">
        <v>3.4</v>
      </c>
      <c r="BQ11" s="5" t="n">
        <v>8.5</v>
      </c>
      <c r="BS11" s="5" t="n">
        <v>95.11</v>
      </c>
      <c r="BU11" s="5" t="n">
        <v>123</v>
      </c>
      <c r="BW11" s="5" t="n">
        <v>11</v>
      </c>
    </row>
    <row r="12">
      <c r="A12" t="n">
        <v>2</v>
      </c>
      <c r="B12" t="inlineStr">
        <is>
          <t>3213/476</t>
        </is>
      </c>
      <c r="C12" t="inlineStr">
        <is>
          <t>Паламар Володимир Володимирович</t>
        </is>
      </c>
      <c r="D12" t="n">
        <v>65</v>
      </c>
      <c r="E12" t="inlineStr">
        <is>
          <t>ч</t>
        </is>
      </c>
      <c r="F12" t="n">
        <v>504118955</v>
      </c>
      <c r="G12" t="inlineStr">
        <is>
          <t xml:space="preserve">Негос дв полісегм пнев 4 кл гр </t>
        </is>
      </c>
      <c r="H12" t="inlineStr">
        <is>
          <t>важкий</t>
        </is>
      </c>
      <c r="I12" t="inlineStr">
        <is>
          <t>ІІІ-IV</t>
        </is>
      </c>
      <c r="K12" t="inlineStr">
        <is>
          <t>ІХС ДК Післяпневмонічний дифузний базальний фіброз легень</t>
        </is>
      </c>
      <c r="L12" s="4" t="n">
        <v>0.7</v>
      </c>
      <c r="M12" t="inlineStr">
        <is>
          <t>важкий</t>
        </is>
      </c>
      <c r="O12" t="n">
        <v>66</v>
      </c>
      <c r="P12" t="n">
        <v>85</v>
      </c>
      <c r="Q12" t="n">
        <v>93</v>
      </c>
      <c r="R12" t="n">
        <v>7</v>
      </c>
      <c r="S12" s="2" t="n">
        <v>44488</v>
      </c>
      <c r="T12" s="2" t="n">
        <v>44516</v>
      </c>
      <c r="U12" t="n">
        <v>28</v>
      </c>
      <c r="W12" t="inlineStr">
        <is>
          <t>4 дні до госп</t>
        </is>
      </c>
      <c r="X12" t="inlineStr">
        <is>
          <t>3 дні в стац</t>
        </is>
      </c>
      <c r="Y12" s="12" t="inlineStr">
        <is>
          <t xml:space="preserve">біл 14 </t>
        </is>
      </c>
      <c r="Z12" t="inlineStr">
        <is>
          <t>140/90</t>
        </is>
      </c>
      <c r="AA12" t="inlineStr">
        <is>
          <t>140/90</t>
        </is>
      </c>
      <c r="AB12" t="n">
        <v>22</v>
      </c>
      <c r="AC12" t="inlineStr">
        <is>
          <t>Ro ОГК-формуван дифузного базального фіброзу легень, більше справа</t>
        </is>
      </c>
      <c r="AD12" t="n">
        <v>144</v>
      </c>
      <c r="AE12" t="n">
        <v>134</v>
      </c>
      <c r="AF12" t="n">
        <v>14.2</v>
      </c>
      <c r="AG12" t="n">
        <v>5.4</v>
      </c>
      <c r="AH12" t="n">
        <v>15</v>
      </c>
      <c r="AI12" t="n">
        <v>2</v>
      </c>
      <c r="AJ12" t="n">
        <v>76</v>
      </c>
      <c r="AK12" t="n">
        <v>80</v>
      </c>
      <c r="AL12" t="n">
        <v>8</v>
      </c>
      <c r="AM12" t="n">
        <v>17</v>
      </c>
      <c r="AN12" t="n">
        <v>40</v>
      </c>
      <c r="AO12" t="n">
        <v>6</v>
      </c>
      <c r="AP12" t="n">
        <v>12</v>
      </c>
      <c r="AQ12" t="n">
        <v>6</v>
      </c>
      <c r="AU12" t="n">
        <v>1100</v>
      </c>
      <c r="AX12" t="n">
        <v>0.9</v>
      </c>
      <c r="AY12" t="n">
        <v>44</v>
      </c>
      <c r="AZ12" t="n">
        <v>39</v>
      </c>
      <c r="BA12" t="n">
        <v>13.2</v>
      </c>
      <c r="BB12" t="n">
        <v>12.2</v>
      </c>
      <c r="BC12" t="n">
        <v>6.8</v>
      </c>
      <c r="BD12" t="n">
        <v>3.18</v>
      </c>
      <c r="BE12" t="n">
        <v>1.24</v>
      </c>
      <c r="BF12" t="n">
        <v>1.15</v>
      </c>
      <c r="BG12" t="n">
        <v>62</v>
      </c>
      <c r="BH12" t="n">
        <v>50</v>
      </c>
      <c r="BI12" t="n">
        <v>13</v>
      </c>
      <c r="BJ12" t="n">
        <v>6.1</v>
      </c>
      <c r="BK12" t="n">
        <v>130</v>
      </c>
      <c r="BL12" t="n">
        <v>88</v>
      </c>
      <c r="BM12" t="n">
        <v>18.7</v>
      </c>
      <c r="BN12" t="n">
        <v>17</v>
      </c>
      <c r="BO12" t="n">
        <v>4.5</v>
      </c>
      <c r="BP12" t="n">
        <v>5.1</v>
      </c>
      <c r="BQ12" t="n">
        <v>7.2</v>
      </c>
      <c r="BR12" t="n">
        <v>11.9</v>
      </c>
      <c r="BS12" t="n">
        <v>12</v>
      </c>
      <c r="BT12" t="n">
        <v>96</v>
      </c>
      <c r="BU12" t="n">
        <v>44</v>
      </c>
      <c r="BV12" t="n">
        <v>61</v>
      </c>
      <c r="BW12" t="n">
        <v>7</v>
      </c>
      <c r="BX12" t="n">
        <v>5.6</v>
      </c>
    </row>
    <row r="13">
      <c r="A13" t="n">
        <v>2</v>
      </c>
      <c r="B13" t="inlineStr">
        <is>
          <t>2831/393</t>
        </is>
      </c>
      <c r="C13" t="inlineStr">
        <is>
          <t>Семенюка Зоряна Андріївна</t>
        </is>
      </c>
      <c r="D13" t="n">
        <v>48</v>
      </c>
      <c r="E13" t="inlineStr">
        <is>
          <t>ж</t>
        </is>
      </c>
      <c r="F13" t="n">
        <v>955939761</v>
      </c>
      <c r="G13" t="inlineStr">
        <is>
          <t xml:space="preserve">Негос дв полісегм пнев 3 кл гр </t>
        </is>
      </c>
      <c r="H13" t="inlineStr">
        <is>
          <t>серед важ</t>
        </is>
      </c>
      <c r="I13" t="inlineStr">
        <is>
          <t>І</t>
        </is>
      </c>
      <c r="O13" t="n">
        <v>93</v>
      </c>
      <c r="Q13" t="n">
        <v>98</v>
      </c>
      <c r="R13" t="n">
        <v>6</v>
      </c>
      <c r="S13" s="2" t="n">
        <v>44681</v>
      </c>
      <c r="T13" s="2" t="n">
        <v>44693</v>
      </c>
      <c r="U13" t="n">
        <v>12</v>
      </c>
      <c r="X13" t="inlineStr">
        <is>
          <t>3 дні до госп</t>
        </is>
      </c>
      <c r="Y13" t="n">
        <v>5</v>
      </c>
      <c r="Z13" t="inlineStr">
        <is>
          <t>140/90</t>
        </is>
      </c>
      <c r="AA13" t="inlineStr">
        <is>
          <t>130/80</t>
        </is>
      </c>
      <c r="AC13" t="inlineStr">
        <is>
          <t>помірні інтерст зміни більше в ниж долв лвої легені</t>
        </is>
      </c>
      <c r="AD13" t="n">
        <v>120</v>
      </c>
      <c r="AE13" t="n">
        <v>118</v>
      </c>
      <c r="AF13" t="n">
        <v>11.2</v>
      </c>
      <c r="AG13" t="n">
        <v>14.3</v>
      </c>
      <c r="AH13" t="n">
        <v>6</v>
      </c>
      <c r="AI13" t="n">
        <v>16</v>
      </c>
      <c r="AJ13" t="n">
        <v>64</v>
      </c>
      <c r="AK13" t="n">
        <v>61</v>
      </c>
      <c r="AL13" t="n">
        <v>28</v>
      </c>
      <c r="AM13" t="n">
        <v>19</v>
      </c>
      <c r="AN13" t="n">
        <v>50</v>
      </c>
      <c r="AO13" t="n">
        <v>20</v>
      </c>
      <c r="AP13" t="n">
        <v>13</v>
      </c>
      <c r="AQ13" t="n">
        <v>6</v>
      </c>
      <c r="AY13" t="n">
        <v>45</v>
      </c>
      <c r="AZ13" t="n">
        <v>36</v>
      </c>
      <c r="BA13" t="n">
        <v>10.9</v>
      </c>
      <c r="BB13" t="n">
        <v>8.6</v>
      </c>
      <c r="BC13" t="n">
        <v>4.8</v>
      </c>
      <c r="BD13" t="n">
        <v>2.2</v>
      </c>
      <c r="BE13" t="n">
        <v>1.6</v>
      </c>
      <c r="BF13" t="n">
        <v>0.85</v>
      </c>
      <c r="BG13" t="n">
        <v>73</v>
      </c>
      <c r="BH13" t="n">
        <v>70.5</v>
      </c>
      <c r="BI13" t="n">
        <v>6</v>
      </c>
      <c r="BJ13" t="n">
        <v>7.3</v>
      </c>
      <c r="BK13" t="n">
        <v>87</v>
      </c>
      <c r="BL13" t="n">
        <v>101</v>
      </c>
      <c r="BM13" t="n">
        <v>18.7</v>
      </c>
      <c r="BN13" t="n">
        <v>13.6</v>
      </c>
      <c r="BO13" t="n">
        <v>6.8</v>
      </c>
      <c r="BP13" t="n">
        <v>5.1</v>
      </c>
      <c r="BQ13" t="n">
        <v>11.9</v>
      </c>
      <c r="BR13" t="n">
        <v>8.5</v>
      </c>
      <c r="BS13" t="n">
        <v>127.8</v>
      </c>
      <c r="BT13" t="n">
        <v>75.40000000000001</v>
      </c>
      <c r="BU13" t="n">
        <v>75.40000000000001</v>
      </c>
      <c r="BV13" t="n">
        <v>48.2</v>
      </c>
      <c r="BW13" t="n">
        <v>7</v>
      </c>
      <c r="BX13" t="n">
        <v>8.4</v>
      </c>
    </row>
    <row r="14">
      <c r="A14" t="n">
        <v>2</v>
      </c>
      <c r="B14" t="inlineStr">
        <is>
          <t>2998/135</t>
        </is>
      </c>
      <c r="C14" t="inlineStr">
        <is>
          <t>Чернегаа Наталія Іванівна</t>
        </is>
      </c>
      <c r="D14" t="n">
        <v>62</v>
      </c>
      <c r="E14" t="inlineStr">
        <is>
          <t>ж</t>
        </is>
      </c>
      <c r="F14" t="n">
        <v>635060454</v>
      </c>
      <c r="G14" t="inlineStr">
        <is>
          <t xml:space="preserve">Негос дв полісегм пнев 3 кл гр </t>
        </is>
      </c>
      <c r="H14" t="inlineStr">
        <is>
          <t>серед важ</t>
        </is>
      </c>
      <c r="I14" t="inlineStr">
        <is>
          <t>І-ІІ</t>
        </is>
      </c>
      <c r="K14" t="inlineStr">
        <is>
          <t>ГХ 2-3ст, ЦД вперше виявлений</t>
        </is>
      </c>
      <c r="L14" s="4" t="n">
        <v>0.25</v>
      </c>
      <c r="M14" t="inlineStr">
        <is>
          <t>легкий</t>
        </is>
      </c>
      <c r="O14" t="n">
        <v>88</v>
      </c>
      <c r="P14" t="n">
        <v>96</v>
      </c>
      <c r="Q14" t="n">
        <v>95</v>
      </c>
      <c r="R14" t="n">
        <v>7</v>
      </c>
      <c r="S14" s="2" t="n">
        <v>44678</v>
      </c>
      <c r="T14" s="2" t="n">
        <v>44692</v>
      </c>
      <c r="U14" t="n">
        <v>14</v>
      </c>
      <c r="W14" t="inlineStr">
        <is>
          <t>3 дні до госп</t>
        </is>
      </c>
      <c r="X14" t="inlineStr">
        <is>
          <t>3 дні в стац</t>
        </is>
      </c>
      <c r="Z14" t="inlineStr">
        <is>
          <t>160/110</t>
        </is>
      </c>
      <c r="AA14" t="inlineStr">
        <is>
          <t>150/100</t>
        </is>
      </c>
      <c r="AB14" t="n">
        <v>4</v>
      </c>
      <c r="AC14" t="inlineStr">
        <is>
          <t>помірні інтерст зміни в задніх та передніх зонах</t>
        </is>
      </c>
      <c r="AD14" t="n">
        <v>135</v>
      </c>
      <c r="AE14" t="n">
        <v>132</v>
      </c>
      <c r="AF14" t="n">
        <v>4.7</v>
      </c>
      <c r="AG14" t="n">
        <v>14.2</v>
      </c>
      <c r="AH14" t="n">
        <v>10</v>
      </c>
      <c r="AI14" t="n">
        <v>17</v>
      </c>
      <c r="AJ14" t="n">
        <v>29</v>
      </c>
      <c r="AK14" t="n">
        <v>69</v>
      </c>
      <c r="AL14" t="n">
        <v>52</v>
      </c>
      <c r="AM14" t="n">
        <v>13</v>
      </c>
      <c r="AN14" t="n">
        <v>35</v>
      </c>
      <c r="AO14" t="n">
        <v>10</v>
      </c>
      <c r="AP14" t="n">
        <v>10</v>
      </c>
      <c r="AQ14" t="n">
        <v>6</v>
      </c>
      <c r="AR14" t="n">
        <v>8.779999999999999</v>
      </c>
      <c r="AS14" t="n">
        <v>12.8</v>
      </c>
      <c r="AU14" t="n">
        <v>238</v>
      </c>
      <c r="AV14" t="n">
        <v>276</v>
      </c>
      <c r="AX14" t="n">
        <v>0.1</v>
      </c>
      <c r="AY14" t="n">
        <v>41</v>
      </c>
      <c r="AZ14" t="n">
        <v>40</v>
      </c>
      <c r="BA14" t="n">
        <v>12</v>
      </c>
      <c r="BB14" t="n">
        <v>10.6</v>
      </c>
      <c r="BC14" t="n">
        <v>3.92</v>
      </c>
      <c r="BD14" t="n">
        <v>2.53</v>
      </c>
      <c r="BE14" t="n">
        <v>1.16</v>
      </c>
      <c r="BF14" t="n">
        <v>1.04</v>
      </c>
      <c r="BG14" t="n">
        <v>52</v>
      </c>
      <c r="BH14" t="n">
        <v>64.2</v>
      </c>
      <c r="BI14" t="n">
        <v>6</v>
      </c>
      <c r="BJ14" t="n">
        <v>5.5</v>
      </c>
      <c r="BK14" t="n">
        <v>88</v>
      </c>
      <c r="BL14" t="n">
        <v>82.7</v>
      </c>
      <c r="BM14" t="n">
        <v>16.2</v>
      </c>
      <c r="BN14" t="n">
        <v>15.3</v>
      </c>
      <c r="BO14" t="n">
        <v>8.300000000000001</v>
      </c>
      <c r="BP14" t="n">
        <v>5.1</v>
      </c>
      <c r="BQ14" t="n">
        <v>9.1</v>
      </c>
      <c r="BR14" t="n">
        <v>10.2</v>
      </c>
      <c r="BS14" t="n">
        <v>37.4</v>
      </c>
      <c r="BT14" t="n">
        <v>82.8</v>
      </c>
      <c r="BU14" t="n">
        <v>30.2</v>
      </c>
      <c r="BV14" t="n">
        <v>36.2</v>
      </c>
      <c r="BW14" t="n">
        <v>6.8</v>
      </c>
      <c r="BX14" t="n">
        <v>5.3</v>
      </c>
    </row>
    <row r="15">
      <c r="A15" t="n">
        <v>2</v>
      </c>
      <c r="B15" t="inlineStr">
        <is>
          <t>2673/681</t>
        </is>
      </c>
      <c r="C15" t="inlineStr">
        <is>
          <t>Юрійчука Софія Дмитрівна</t>
        </is>
      </c>
      <c r="D15" t="n">
        <v>69</v>
      </c>
      <c r="E15" t="inlineStr">
        <is>
          <t>ж</t>
        </is>
      </c>
      <c r="F15" t="inlineStr">
        <is>
          <t>0679110285 подруга Зоряна</t>
        </is>
      </c>
      <c r="G15" t="inlineStr">
        <is>
          <t>Негосп полісег пневм 4 кл гр</t>
        </is>
      </c>
      <c r="H15" t="inlineStr">
        <is>
          <t>важкий</t>
        </is>
      </c>
      <c r="I15" t="inlineStr">
        <is>
          <t>ІІ-ІІІ</t>
        </is>
      </c>
      <c r="K15" t="inlineStr">
        <is>
          <t>ІХС Стенокар напруги, тахісист варіан, ГХст3</t>
        </is>
      </c>
      <c r="O15" t="n">
        <v>81</v>
      </c>
      <c r="P15" t="n">
        <v>93</v>
      </c>
      <c r="Q15" t="n">
        <v>96</v>
      </c>
      <c r="R15" t="n">
        <v>10</v>
      </c>
      <c r="S15" s="2" t="n">
        <v>44517</v>
      </c>
      <c r="T15" s="2" t="n">
        <v>44553</v>
      </c>
      <c r="U15" t="n">
        <v>37</v>
      </c>
      <c r="W15" t="inlineStr">
        <is>
          <t>4 дні до госп</t>
        </is>
      </c>
      <c r="X15" t="inlineStr">
        <is>
          <t>2 дні в стац</t>
        </is>
      </c>
      <c r="Z15" t="inlineStr">
        <is>
          <t>160/110</t>
        </is>
      </c>
      <c r="AA15" t="inlineStr">
        <is>
          <t>140/90</t>
        </is>
      </c>
      <c r="AB15" t="inlineStr">
        <is>
          <t>37+концен додому</t>
        </is>
      </c>
      <c r="AC15" t="inlineStr">
        <is>
          <t>помірні інтерст зміни в ниж відд, пристінковий випіт 8мм, біла легеня</t>
        </is>
      </c>
      <c r="AD15" t="n">
        <v>142</v>
      </c>
      <c r="AE15" t="n">
        <v>116</v>
      </c>
      <c r="AF15" t="n">
        <v>7</v>
      </c>
      <c r="AG15" t="n">
        <v>6</v>
      </c>
      <c r="AH15" t="n">
        <v>12</v>
      </c>
      <c r="AI15" t="n">
        <v>10</v>
      </c>
      <c r="AJ15" t="n">
        <v>66</v>
      </c>
      <c r="AK15" t="n">
        <v>60</v>
      </c>
      <c r="AL15" t="n">
        <v>6</v>
      </c>
      <c r="AM15" t="n">
        <v>30</v>
      </c>
      <c r="AN15" t="n">
        <v>45</v>
      </c>
      <c r="AO15" t="n">
        <v>25</v>
      </c>
      <c r="AP15" t="n">
        <v>18</v>
      </c>
      <c r="AQ15" t="n">
        <v>6</v>
      </c>
      <c r="AU15" t="n">
        <v>972</v>
      </c>
      <c r="AV15" t="n">
        <v>0.9</v>
      </c>
      <c r="AY15" t="n">
        <v>40</v>
      </c>
      <c r="AZ15" t="n">
        <v>31</v>
      </c>
      <c r="BA15" t="n">
        <v>10.2</v>
      </c>
      <c r="BB15" t="n">
        <v>10</v>
      </c>
      <c r="BC15" t="n">
        <v>5</v>
      </c>
      <c r="BD15" t="n">
        <v>7</v>
      </c>
      <c r="BE15" t="n">
        <v>1</v>
      </c>
      <c r="BF15" t="n">
        <v>0.98</v>
      </c>
      <c r="BG15" t="n">
        <v>70</v>
      </c>
      <c r="BH15" t="n">
        <v>62.6</v>
      </c>
      <c r="BI15" t="n">
        <v>68</v>
      </c>
      <c r="BJ15" t="n">
        <v>14.1</v>
      </c>
      <c r="BK15" t="n">
        <v>95</v>
      </c>
      <c r="BL15" t="n">
        <v>143</v>
      </c>
      <c r="BM15" t="n">
        <v>11.9</v>
      </c>
      <c r="BN15" t="n">
        <v>13</v>
      </c>
      <c r="BO15" t="n">
        <v>3.4</v>
      </c>
      <c r="BP15" t="n">
        <v>5</v>
      </c>
      <c r="BQ15" t="n">
        <v>8.5</v>
      </c>
      <c r="BR15" t="n">
        <v>8.5</v>
      </c>
      <c r="BS15" t="n">
        <v>26.5</v>
      </c>
      <c r="BT15" t="n">
        <v>43</v>
      </c>
      <c r="BU15" t="n">
        <v>50</v>
      </c>
      <c r="BV15" t="n">
        <v>34.5</v>
      </c>
      <c r="BW15" t="n">
        <v>7</v>
      </c>
      <c r="BX15" t="n">
        <v>5</v>
      </c>
      <c r="BY15" t="inlineStr">
        <is>
          <t>двобічний гідроторакс, на концентраторі вдома</t>
        </is>
      </c>
    </row>
    <row r="16">
      <c r="A16" t="n">
        <v>2</v>
      </c>
      <c r="B16" t="inlineStr">
        <is>
          <t>1731/280</t>
        </is>
      </c>
      <c r="C16" t="inlineStr">
        <is>
          <t>Юрійчук Андрій іванович</t>
        </is>
      </c>
      <c r="D16" t="n">
        <v>66</v>
      </c>
      <c r="E16" t="inlineStr">
        <is>
          <t>ч</t>
        </is>
      </c>
      <c r="F16" t="inlineStr">
        <is>
          <t>0993228088, син Степан 0954230048</t>
        </is>
      </c>
      <c r="G16" t="inlineStr">
        <is>
          <t>Негосп полісег пневм 4 кл гр</t>
        </is>
      </c>
      <c r="H16" t="inlineStr">
        <is>
          <t>важкий</t>
        </is>
      </c>
      <c r="I16" t="inlineStr">
        <is>
          <t>ІІІ</t>
        </is>
      </c>
      <c r="K16" t="inlineStr">
        <is>
          <t>ІХС ДК</t>
        </is>
      </c>
      <c r="L16" s="4" t="n">
        <v>0.5</v>
      </c>
      <c r="M16" t="inlineStr">
        <is>
          <t>важкий</t>
        </is>
      </c>
      <c r="O16" t="n">
        <v>90</v>
      </c>
      <c r="P16" t="n">
        <v>97</v>
      </c>
      <c r="Q16" t="n">
        <v>94</v>
      </c>
      <c r="R16" t="n">
        <v>7</v>
      </c>
      <c r="S16" s="2" t="n">
        <v>44532</v>
      </c>
      <c r="T16" s="2" t="n">
        <v>44548</v>
      </c>
      <c r="U16" t="n">
        <v>17</v>
      </c>
      <c r="W16" t="inlineStr">
        <is>
          <t>3 дні до госп</t>
        </is>
      </c>
      <c r="X16" t="inlineStr">
        <is>
          <t>5 днів в стац</t>
        </is>
      </c>
      <c r="Y16" t="n">
        <v>12</v>
      </c>
      <c r="Z16" t="inlineStr">
        <is>
          <t>140/90</t>
        </is>
      </c>
      <c r="AA16" t="inlineStr">
        <is>
          <t>130/80</t>
        </is>
      </c>
      <c r="AB16" t="n">
        <v>12</v>
      </c>
      <c r="AC16" t="inlineStr">
        <is>
          <t>в правій долі значні інтерст зміни</t>
        </is>
      </c>
      <c r="AD16" t="n">
        <v>114</v>
      </c>
      <c r="AE16" t="n">
        <v>116</v>
      </c>
      <c r="AF16" t="n">
        <v>10.5</v>
      </c>
      <c r="AG16" t="n">
        <v>11.5</v>
      </c>
      <c r="AH16" t="n">
        <v>12</v>
      </c>
      <c r="AI16" t="n">
        <v>14</v>
      </c>
      <c r="AJ16" t="n">
        <v>64</v>
      </c>
      <c r="AK16" t="n">
        <v>62</v>
      </c>
      <c r="AL16" t="n">
        <v>22</v>
      </c>
      <c r="AM16" t="n">
        <v>22</v>
      </c>
      <c r="AN16" t="n">
        <v>20</v>
      </c>
      <c r="AO16" t="n">
        <v>13</v>
      </c>
      <c r="AQ16" t="n">
        <v>12</v>
      </c>
      <c r="AU16" t="n">
        <v>1105</v>
      </c>
      <c r="AY16" t="n">
        <v>35</v>
      </c>
      <c r="AZ16" t="n">
        <v>37</v>
      </c>
      <c r="BA16" t="n">
        <v>13.2</v>
      </c>
      <c r="BB16" t="n">
        <v>13.1</v>
      </c>
      <c r="BC16" t="n">
        <v>2.55</v>
      </c>
      <c r="BD16" t="n">
        <v>4</v>
      </c>
      <c r="BE16" t="n">
        <v>1.26</v>
      </c>
      <c r="BF16" t="n">
        <v>1.26</v>
      </c>
      <c r="BG16" t="n">
        <v>56</v>
      </c>
      <c r="BH16" t="n">
        <v>58</v>
      </c>
      <c r="BI16" t="n">
        <v>4.8</v>
      </c>
      <c r="BJ16" t="n">
        <v>8.199999999999999</v>
      </c>
      <c r="BK16" t="n">
        <v>70</v>
      </c>
      <c r="BL16" t="n">
        <v>100</v>
      </c>
      <c r="BM16" t="n">
        <v>13.6</v>
      </c>
      <c r="BN16" t="n">
        <v>13.6</v>
      </c>
      <c r="BO16" t="n">
        <v>3.4</v>
      </c>
      <c r="BP16" t="n">
        <v>5.1</v>
      </c>
      <c r="BQ16" t="n">
        <v>10.2</v>
      </c>
      <c r="BR16" t="n">
        <v>13</v>
      </c>
      <c r="BS16" t="n">
        <v>22</v>
      </c>
      <c r="BT16" t="n">
        <v>65</v>
      </c>
      <c r="BU16" t="n">
        <v>12.5</v>
      </c>
      <c r="BV16" t="n">
        <v>34.5</v>
      </c>
      <c r="BW16" t="n">
        <v>5</v>
      </c>
      <c r="BX16" t="n">
        <v>5.1</v>
      </c>
    </row>
    <row r="17">
      <c r="A17" t="n">
        <v>2</v>
      </c>
      <c r="B17" t="inlineStr">
        <is>
          <t>2612/542</t>
        </is>
      </c>
      <c r="C17" t="inlineStr">
        <is>
          <t>Єрмолюк Григорій Павлович</t>
        </is>
      </c>
      <c r="D17" t="n">
        <v>33</v>
      </c>
      <c r="E17" t="inlineStr">
        <is>
          <t>ч</t>
        </is>
      </c>
      <c r="F17" t="n">
        <v>961280845</v>
      </c>
      <c r="G17" t="inlineStr">
        <is>
          <t>Негосп полісег пневм 3 кл гр</t>
        </is>
      </c>
      <c r="H17" t="inlineStr">
        <is>
          <t>серед важ</t>
        </is>
      </c>
      <c r="I17" t="inlineStr">
        <is>
          <t>І</t>
        </is>
      </c>
      <c r="L17" s="4" t="n">
        <v>0.15</v>
      </c>
      <c r="M17" t="inlineStr">
        <is>
          <t>легкий</t>
        </is>
      </c>
      <c r="O17" t="n">
        <v>90</v>
      </c>
      <c r="Q17" t="n">
        <v>97</v>
      </c>
      <c r="R17" t="n">
        <v>7</v>
      </c>
      <c r="S17" s="2" t="n">
        <v>44517</v>
      </c>
      <c r="T17" s="2" t="n">
        <v>44525</v>
      </c>
      <c r="U17" t="n">
        <v>8</v>
      </c>
      <c r="X17" t="inlineStr">
        <is>
          <t>4 дні до госп</t>
        </is>
      </c>
      <c r="Z17" t="inlineStr">
        <is>
          <t>130/80</t>
        </is>
      </c>
      <c r="AA17" t="inlineStr">
        <is>
          <t>120/80</t>
        </is>
      </c>
      <c r="AC17" t="inlineStr">
        <is>
          <t>Ro ОГК-двоб пневмонія, ст.розсмоктування</t>
        </is>
      </c>
      <c r="AD17" t="n">
        <v>156</v>
      </c>
      <c r="AE17" t="n">
        <v>148</v>
      </c>
      <c r="AF17" t="n">
        <v>6</v>
      </c>
      <c r="AG17" t="n">
        <v>8</v>
      </c>
      <c r="AH17" t="n">
        <v>15</v>
      </c>
      <c r="AI17" t="n">
        <v>4</v>
      </c>
      <c r="AJ17" t="n">
        <v>68</v>
      </c>
      <c r="AK17" t="n">
        <v>66</v>
      </c>
      <c r="AL17" t="n">
        <v>14</v>
      </c>
      <c r="AM17" t="n">
        <v>22</v>
      </c>
      <c r="AN17" t="n">
        <v>45</v>
      </c>
      <c r="AO17" t="n">
        <v>21</v>
      </c>
      <c r="AP17" t="n">
        <v>18</v>
      </c>
      <c r="AQ17" t="n">
        <v>6</v>
      </c>
      <c r="AR17" t="n">
        <v>10</v>
      </c>
      <c r="AU17" t="n">
        <v>968</v>
      </c>
      <c r="AX17" t="n">
        <v>0.104</v>
      </c>
      <c r="AY17" t="n">
        <v>38</v>
      </c>
      <c r="AZ17" t="n">
        <v>46</v>
      </c>
      <c r="BA17" t="n">
        <v>10.8</v>
      </c>
      <c r="BB17" t="n">
        <v>10.2</v>
      </c>
      <c r="BC17" t="n">
        <v>7</v>
      </c>
      <c r="BD17" t="n">
        <v>6.6</v>
      </c>
      <c r="BE17" t="n">
        <v>1.3</v>
      </c>
      <c r="BF17" t="n">
        <v>1</v>
      </c>
      <c r="BG17" t="n">
        <v>62</v>
      </c>
      <c r="BH17" t="n">
        <v>66</v>
      </c>
      <c r="BI17" t="n">
        <v>6.8</v>
      </c>
      <c r="BJ17" t="n">
        <v>4</v>
      </c>
      <c r="BK17" t="n">
        <v>95</v>
      </c>
      <c r="BL17" t="n">
        <v>67</v>
      </c>
      <c r="BM17" t="n">
        <v>15.3</v>
      </c>
      <c r="BN17" t="n">
        <v>15.3</v>
      </c>
      <c r="BO17" t="n">
        <v>5.1</v>
      </c>
      <c r="BP17" t="n">
        <v>5.1</v>
      </c>
      <c r="BQ17" t="n">
        <v>10.2</v>
      </c>
      <c r="BR17" t="n">
        <v>10.2</v>
      </c>
      <c r="BS17" t="n">
        <v>56.3</v>
      </c>
      <c r="BT17" t="n">
        <v>146.6</v>
      </c>
      <c r="BU17" t="n">
        <v>47</v>
      </c>
      <c r="BV17" t="n">
        <v>41</v>
      </c>
      <c r="BW17" t="n">
        <v>7</v>
      </c>
      <c r="BX17" t="n">
        <v>3.7</v>
      </c>
    </row>
    <row r="18">
      <c r="A18" t="n">
        <v>2</v>
      </c>
      <c r="B18" t="inlineStr">
        <is>
          <t>3072/418</t>
        </is>
      </c>
      <c r="C18" t="inlineStr">
        <is>
          <t>Руснак Олександр Андрійович</t>
        </is>
      </c>
      <c r="D18" t="n">
        <v>35</v>
      </c>
      <c r="E18" t="inlineStr">
        <is>
          <t>ч</t>
        </is>
      </c>
      <c r="F18" t="n">
        <v>990370382</v>
      </c>
      <c r="G18" t="inlineStr">
        <is>
          <t>Негосп полісег пневм 3 кл гр</t>
        </is>
      </c>
      <c r="H18" t="inlineStr">
        <is>
          <t>серед важ</t>
        </is>
      </c>
      <c r="I18" t="inlineStr">
        <is>
          <t>І</t>
        </is>
      </c>
      <c r="K18" t="inlineStr">
        <is>
          <t>Хрон гастродуоденіт</t>
        </is>
      </c>
      <c r="L18" s="3" t="n"/>
      <c r="O18" t="n">
        <v>91</v>
      </c>
      <c r="P18" t="n">
        <v>97</v>
      </c>
      <c r="Q18" t="n">
        <v>98</v>
      </c>
      <c r="R18" t="n">
        <v>10</v>
      </c>
      <c r="S18" s="2" t="n">
        <v>44516</v>
      </c>
      <c r="T18" s="2" t="n">
        <v>44525</v>
      </c>
      <c r="U18" t="n">
        <v>9</v>
      </c>
      <c r="W18" t="inlineStr">
        <is>
          <t>3 дні до госп</t>
        </is>
      </c>
      <c r="X18" t="inlineStr">
        <is>
          <t>5 днів в стац</t>
        </is>
      </c>
      <c r="Z18" t="inlineStr">
        <is>
          <t>130/80</t>
        </is>
      </c>
      <c r="AA18" t="inlineStr">
        <is>
          <t>120/80</t>
        </is>
      </c>
      <c r="AB18" t="n">
        <v>6</v>
      </c>
      <c r="AC18" t="inlineStr">
        <is>
          <t>помірні інтерст зміни в ниж відд, точкові фіброзні включення в плеврі</t>
        </is>
      </c>
      <c r="AD18" t="n">
        <v>152</v>
      </c>
      <c r="AE18" t="n">
        <v>160</v>
      </c>
      <c r="AF18" t="n">
        <v>10</v>
      </c>
      <c r="AG18" t="n">
        <v>6.4</v>
      </c>
      <c r="AH18" t="n">
        <v>22</v>
      </c>
      <c r="AI18" t="n">
        <v>2</v>
      </c>
      <c r="AJ18" t="n">
        <v>80</v>
      </c>
      <c r="AK18" t="n">
        <v>70</v>
      </c>
      <c r="AL18" t="n">
        <v>6</v>
      </c>
      <c r="AM18" t="n">
        <v>21</v>
      </c>
      <c r="AN18" t="n">
        <v>21</v>
      </c>
      <c r="AO18" t="n">
        <v>24</v>
      </c>
      <c r="AP18" t="n">
        <v>19</v>
      </c>
      <c r="AQ18" t="n">
        <v>6</v>
      </c>
      <c r="AR18" t="n">
        <v>34</v>
      </c>
      <c r="AS18" t="n">
        <v>11.4</v>
      </c>
      <c r="AU18" t="n">
        <v>364</v>
      </c>
      <c r="AX18" t="n">
        <v>0.06</v>
      </c>
      <c r="AY18" t="n">
        <v>40</v>
      </c>
      <c r="AZ18" t="n">
        <v>46</v>
      </c>
      <c r="BA18" t="n">
        <v>10.3</v>
      </c>
      <c r="BB18" t="n">
        <v>10.5</v>
      </c>
      <c r="BC18" t="n">
        <v>6</v>
      </c>
      <c r="BD18" t="n">
        <v>5</v>
      </c>
      <c r="BE18" t="n">
        <v>1</v>
      </c>
      <c r="BF18" t="n">
        <v>1.02</v>
      </c>
      <c r="BG18" t="n">
        <v>56</v>
      </c>
      <c r="BH18" t="n">
        <v>64</v>
      </c>
      <c r="BI18" t="n">
        <v>4.1</v>
      </c>
      <c r="BJ18" t="n">
        <v>4</v>
      </c>
      <c r="BK18" t="n">
        <v>77</v>
      </c>
      <c r="BL18" t="n">
        <v>66</v>
      </c>
      <c r="BM18" t="n">
        <v>15.3</v>
      </c>
      <c r="BN18" t="n">
        <v>20.4</v>
      </c>
      <c r="BO18" t="n">
        <v>5.1</v>
      </c>
      <c r="BP18" t="n">
        <v>6.8</v>
      </c>
      <c r="BQ18" t="n">
        <v>10.2</v>
      </c>
      <c r="BR18" t="n">
        <v>12</v>
      </c>
      <c r="BS18" t="n">
        <v>30.3</v>
      </c>
      <c r="BT18" t="n">
        <v>200</v>
      </c>
      <c r="BU18" t="n">
        <v>15.5</v>
      </c>
      <c r="BV18" t="n">
        <v>37.5</v>
      </c>
      <c r="BW18" t="n">
        <v>4</v>
      </c>
      <c r="BX18" t="n">
        <v>3.6</v>
      </c>
      <c r="BY18" t="inlineStr">
        <is>
          <t>дибіл</t>
        </is>
      </c>
    </row>
    <row r="19">
      <c r="A19" t="n">
        <v>2</v>
      </c>
      <c r="B19" t="inlineStr">
        <is>
          <t>2592/430</t>
        </is>
      </c>
      <c r="C19" t="inlineStr">
        <is>
          <t>Марчук Павло Романович</t>
        </is>
      </c>
      <c r="D19" t="n">
        <v>76</v>
      </c>
      <c r="E19" t="inlineStr">
        <is>
          <t>ч</t>
        </is>
      </c>
      <c r="F19" t="inlineStr">
        <is>
          <t>син владислав 0997879432</t>
        </is>
      </c>
      <c r="G19" t="inlineStr">
        <is>
          <t>Негосп полісег пневм 3 кл гр</t>
        </is>
      </c>
      <c r="H19" t="inlineStr">
        <is>
          <t>серед важ</t>
        </is>
      </c>
      <c r="I19" t="inlineStr">
        <is>
          <t>ІІ</t>
        </is>
      </c>
      <c r="K19" t="inlineStr">
        <is>
          <t>ІХС ДК . ГХ ІІІ</t>
        </is>
      </c>
      <c r="O19" t="n">
        <v>90</v>
      </c>
      <c r="P19" t="n">
        <v>98</v>
      </c>
      <c r="Q19" t="n">
        <v>98</v>
      </c>
      <c r="R19" t="n">
        <v>6</v>
      </c>
      <c r="S19" s="2" t="n">
        <v>44511</v>
      </c>
      <c r="T19" s="2" t="n">
        <v>44530</v>
      </c>
      <c r="U19" t="n">
        <v>19</v>
      </c>
      <c r="Z19" t="inlineStr">
        <is>
          <t>140/100</t>
        </is>
      </c>
      <c r="AA19" t="inlineStr">
        <is>
          <t>160/100</t>
        </is>
      </c>
      <c r="AB19" t="n">
        <v>3</v>
      </c>
      <c r="AC19" t="inlineStr">
        <is>
          <t>помірні фіброзні зміни в ниж долях</t>
        </is>
      </c>
      <c r="AD19" t="n">
        <v>134</v>
      </c>
      <c r="AE19" t="n">
        <v>136</v>
      </c>
      <c r="AF19" t="n">
        <v>7</v>
      </c>
      <c r="AG19" t="n">
        <v>7.2</v>
      </c>
      <c r="AH19" t="n">
        <v>12</v>
      </c>
      <c r="AI19" t="n">
        <v>15</v>
      </c>
      <c r="AJ19" t="n">
        <v>60</v>
      </c>
      <c r="AK19" t="n">
        <v>60</v>
      </c>
      <c r="AL19" t="n">
        <v>18</v>
      </c>
      <c r="AM19" t="n">
        <v>14</v>
      </c>
      <c r="AN19" t="n">
        <v>6</v>
      </c>
      <c r="AO19" t="n">
        <v>8</v>
      </c>
      <c r="AP19" t="n">
        <v>18</v>
      </c>
      <c r="AQ19" t="n">
        <v>18</v>
      </c>
      <c r="AY19" t="n">
        <v>38</v>
      </c>
      <c r="AZ19" t="n">
        <v>45</v>
      </c>
      <c r="BA19" t="n">
        <v>9</v>
      </c>
      <c r="BB19" t="n">
        <v>9.800000000000001</v>
      </c>
      <c r="BC19" t="n">
        <v>3.5</v>
      </c>
      <c r="BD19" t="n">
        <v>7</v>
      </c>
      <c r="BE19" t="n">
        <v>0.87</v>
      </c>
      <c r="BF19" t="n">
        <v>0.97</v>
      </c>
      <c r="BG19" t="n">
        <v>56</v>
      </c>
      <c r="BH19" t="n">
        <v>52</v>
      </c>
      <c r="BI19" t="n">
        <v>6.3</v>
      </c>
      <c r="BJ19" t="n">
        <v>5.9</v>
      </c>
      <c r="BK19" t="n">
        <v>90</v>
      </c>
      <c r="BL19" t="n">
        <v>95</v>
      </c>
      <c r="BM19" t="n">
        <v>15.3</v>
      </c>
      <c r="BN19" t="n">
        <v>18.7</v>
      </c>
      <c r="BO19" t="n">
        <v>5.1</v>
      </c>
      <c r="BP19" t="n">
        <v>6.8</v>
      </c>
      <c r="BQ19" t="n">
        <v>10.2</v>
      </c>
      <c r="BR19" t="n">
        <v>10.2</v>
      </c>
      <c r="BS19" t="n">
        <v>60.6</v>
      </c>
      <c r="BT19" t="n">
        <v>21</v>
      </c>
      <c r="BU19" t="n">
        <v>52.1</v>
      </c>
      <c r="BV19" t="n">
        <v>34.5</v>
      </c>
      <c r="BW19" t="n">
        <v>5</v>
      </c>
      <c r="BX19" t="n">
        <v>3.7</v>
      </c>
      <c r="BY19" t="inlineStr">
        <is>
          <t xml:space="preserve">інфаркт 7 днів до госп, 3 стенти. В анамнезі 3 інфаркта </t>
        </is>
      </c>
    </row>
    <row r="20">
      <c r="A20" t="n">
        <v>2</v>
      </c>
      <c r="B20" t="inlineStr">
        <is>
          <t>1276/596</t>
        </is>
      </c>
      <c r="C20" t="inlineStr">
        <is>
          <t>Вережака Уляна Юріївна</t>
        </is>
      </c>
      <c r="D20" t="n">
        <v>73</v>
      </c>
      <c r="E20" t="inlineStr">
        <is>
          <t>ж</t>
        </is>
      </c>
      <c r="F20" t="inlineStr">
        <is>
          <t>син Ярослав 0638421083</t>
        </is>
      </c>
      <c r="G20" t="inlineStr">
        <is>
          <t>Негосп полісег пнев 4 кл гр</t>
        </is>
      </c>
      <c r="H20" t="inlineStr">
        <is>
          <t>важкий</t>
        </is>
      </c>
      <c r="I20" t="inlineStr">
        <is>
          <t>І</t>
        </is>
      </c>
      <c r="K20" t="inlineStr">
        <is>
          <t>ІХС Післяінфар кардіоск, ГХст3, фібриляція передсер,шлун екстрасисит аритмія</t>
        </is>
      </c>
      <c r="O20" t="n">
        <v>88</v>
      </c>
      <c r="P20" t="n">
        <v>97</v>
      </c>
      <c r="Q20" t="n">
        <v>94</v>
      </c>
      <c r="R20" t="n">
        <v>10</v>
      </c>
      <c r="S20" s="2" t="n">
        <v>44489</v>
      </c>
      <c r="T20" s="2" t="n">
        <v>44519</v>
      </c>
      <c r="U20" t="n">
        <v>29</v>
      </c>
      <c r="W20" t="inlineStr">
        <is>
          <t>2 дні в стац</t>
        </is>
      </c>
      <c r="Z20" t="inlineStr">
        <is>
          <t>140/80</t>
        </is>
      </c>
      <c r="AA20" t="inlineStr">
        <is>
          <t>130/80</t>
        </is>
      </c>
      <c r="AB20" t="n">
        <v>23</v>
      </c>
      <c r="AC20" t="inlineStr">
        <is>
          <t>помірні інтерст зміни</t>
        </is>
      </c>
      <c r="AD20" t="n">
        <v>126</v>
      </c>
      <c r="AE20" t="n">
        <v>160</v>
      </c>
      <c r="AF20" t="n">
        <v>4.3</v>
      </c>
      <c r="AG20" t="n">
        <v>11.1</v>
      </c>
      <c r="AH20" t="n">
        <v>12</v>
      </c>
      <c r="AI20" t="n">
        <v>2</v>
      </c>
      <c r="AJ20" t="n">
        <v>75</v>
      </c>
      <c r="AK20" t="n">
        <v>83</v>
      </c>
      <c r="AL20" t="n">
        <v>11</v>
      </c>
      <c r="AM20" t="n">
        <v>8</v>
      </c>
      <c r="AN20" t="n">
        <v>14</v>
      </c>
      <c r="AO20" t="n">
        <v>10</v>
      </c>
      <c r="AP20" t="n">
        <v>12</v>
      </c>
      <c r="AQ20" t="n">
        <v>6</v>
      </c>
      <c r="AR20" t="n">
        <v>198</v>
      </c>
      <c r="AU20" t="n">
        <v>645.98</v>
      </c>
      <c r="AX20" t="n">
        <v>0.16</v>
      </c>
      <c r="AY20" t="n">
        <v>36</v>
      </c>
      <c r="AZ20" t="n">
        <v>46</v>
      </c>
      <c r="BA20" t="n">
        <v>9.6</v>
      </c>
      <c r="BB20" t="n">
        <v>10.1</v>
      </c>
      <c r="BC20" t="n">
        <v>5.6</v>
      </c>
      <c r="BD20" t="n">
        <v>2.14</v>
      </c>
      <c r="BE20" t="n">
        <v>0.93</v>
      </c>
      <c r="BF20" t="n">
        <v>0.97</v>
      </c>
      <c r="BG20" t="n">
        <v>50</v>
      </c>
      <c r="BH20" t="n">
        <v>54</v>
      </c>
      <c r="BI20" t="n">
        <v>6.1</v>
      </c>
      <c r="BJ20" t="n">
        <v>7.6</v>
      </c>
      <c r="BK20" t="n">
        <v>137</v>
      </c>
      <c r="BL20" t="n">
        <v>103</v>
      </c>
      <c r="BM20" t="n">
        <v>25.5</v>
      </c>
      <c r="BN20" t="n">
        <v>27.2</v>
      </c>
      <c r="BO20" t="n">
        <v>10.2</v>
      </c>
      <c r="BQ20" t="n">
        <v>15.3</v>
      </c>
      <c r="BS20" t="n">
        <v>12</v>
      </c>
      <c r="BT20" t="n">
        <v>17.58</v>
      </c>
      <c r="BU20" t="n">
        <v>29.6</v>
      </c>
      <c r="BV20" t="n">
        <v>20.5</v>
      </c>
      <c r="BW20" t="n">
        <v>3.2</v>
      </c>
      <c r="BX20" t="n">
        <v>4.7</v>
      </c>
      <c r="BY20" t="inlineStr">
        <is>
          <t>введенно Актемра</t>
        </is>
      </c>
    </row>
    <row r="21">
      <c r="A21" t="n">
        <v>2</v>
      </c>
      <c r="B21" t="inlineStr">
        <is>
          <t>2501/673</t>
        </is>
      </c>
      <c r="C21" t="inlineStr">
        <is>
          <t>Бондар Петро Іванович</t>
        </is>
      </c>
      <c r="D21" t="n">
        <v>67</v>
      </c>
      <c r="E21" t="inlineStr">
        <is>
          <t>ч</t>
        </is>
      </c>
      <c r="F21" t="inlineStr">
        <is>
          <t>0638440932, дружина Ганна 0634845263</t>
        </is>
      </c>
      <c r="G21" t="inlineStr">
        <is>
          <t>Негосп полісегм пнев 3 кл гр</t>
        </is>
      </c>
      <c r="H21" t="inlineStr">
        <is>
          <t>серед важ</t>
        </is>
      </c>
      <c r="I21" t="inlineStr">
        <is>
          <t>ІІ</t>
        </is>
      </c>
      <c r="K21" t="inlineStr">
        <is>
          <t>ЦД</t>
        </is>
      </c>
    </row>
    <row r="22">
      <c r="A22" t="n">
        <v>2</v>
      </c>
      <c r="B22" t="inlineStr">
        <is>
          <t>612/177</t>
        </is>
      </c>
      <c r="C22" t="inlineStr">
        <is>
          <t>Хмараа Софія Дмитрівна</t>
        </is>
      </c>
      <c r="D22" t="n">
        <v>48</v>
      </c>
      <c r="E22" t="inlineStr">
        <is>
          <t>ж</t>
        </is>
      </c>
      <c r="F22" t="n">
        <v>688280258</v>
      </c>
      <c r="G22" t="inlineStr">
        <is>
          <t>Негосп дв полісегм пнев 3 кл гр</t>
        </is>
      </c>
      <c r="H22" t="inlineStr">
        <is>
          <t>серед важ</t>
        </is>
      </c>
      <c r="I22" t="inlineStr">
        <is>
          <t>І</t>
        </is>
      </c>
      <c r="O22" t="n">
        <v>95</v>
      </c>
      <c r="Q22" t="n">
        <v>96</v>
      </c>
      <c r="R22" t="n">
        <v>7</v>
      </c>
      <c r="S22" s="2" t="n">
        <v>44503</v>
      </c>
      <c r="T22" s="2" t="n">
        <v>44516</v>
      </c>
      <c r="U22" t="n">
        <v>13</v>
      </c>
      <c r="X22" t="inlineStr">
        <is>
          <t>7 днів до госп</t>
        </is>
      </c>
      <c r="Y22" s="12" t="inlineStr">
        <is>
          <t>3 дні в стац</t>
        </is>
      </c>
      <c r="Z22" t="inlineStr">
        <is>
          <t>130/80</t>
        </is>
      </c>
      <c r="AA22" t="inlineStr">
        <is>
          <t>120/80</t>
        </is>
      </c>
      <c r="AC22" t="inlineStr">
        <is>
          <t>помірні інтерст зміни в серед відд і ниж доля справа</t>
        </is>
      </c>
      <c r="AD22" t="n">
        <v>132</v>
      </c>
      <c r="AE22" t="n">
        <v>154</v>
      </c>
      <c r="AF22" t="n">
        <v>4.1</v>
      </c>
      <c r="AG22" t="n">
        <v>7.7</v>
      </c>
      <c r="AH22" t="n">
        <v>8</v>
      </c>
      <c r="AI22" t="n">
        <v>9</v>
      </c>
      <c r="AJ22" t="n">
        <v>64</v>
      </c>
      <c r="AK22" t="n">
        <v>77</v>
      </c>
      <c r="AL22" t="n">
        <v>24</v>
      </c>
      <c r="AM22" t="n">
        <v>14</v>
      </c>
      <c r="AN22" t="n">
        <v>13</v>
      </c>
      <c r="AO22" t="n">
        <v>6</v>
      </c>
      <c r="AP22" t="n">
        <v>12</v>
      </c>
      <c r="AQ22" t="n">
        <v>6</v>
      </c>
      <c r="AU22" t="n">
        <v>145.8</v>
      </c>
      <c r="AY22" t="n">
        <v>52</v>
      </c>
      <c r="AZ22" t="n">
        <v>40</v>
      </c>
      <c r="BA22" t="n">
        <v>11.1</v>
      </c>
      <c r="BB22" t="n">
        <v>10.1</v>
      </c>
      <c r="BC22" t="n">
        <v>4.41</v>
      </c>
      <c r="BD22" t="n">
        <v>3.92</v>
      </c>
      <c r="BE22" t="n">
        <v>1.06</v>
      </c>
      <c r="BF22" t="n">
        <v>0.97</v>
      </c>
      <c r="BG22" t="n">
        <v>70</v>
      </c>
      <c r="BH22" t="n">
        <v>56</v>
      </c>
      <c r="BI22" t="n">
        <v>7.7</v>
      </c>
      <c r="BJ22" t="n">
        <v>6.9</v>
      </c>
      <c r="BK22" t="n">
        <v>87.7</v>
      </c>
      <c r="BL22" t="n">
        <v>78</v>
      </c>
      <c r="BM22" t="n">
        <v>18.7</v>
      </c>
      <c r="BN22" t="n">
        <v>15.3</v>
      </c>
      <c r="BO22" t="n">
        <v>8.5</v>
      </c>
      <c r="BP22" t="n">
        <v>5.1</v>
      </c>
      <c r="BQ22" t="n">
        <v>10.2</v>
      </c>
      <c r="BR22" t="n">
        <v>10.2</v>
      </c>
      <c r="BS22" t="n">
        <v>59.6</v>
      </c>
      <c r="BT22" t="n">
        <v>129.69</v>
      </c>
      <c r="BU22" t="n">
        <v>20.8</v>
      </c>
      <c r="BV22" t="n">
        <v>38.4</v>
      </c>
      <c r="BW22" t="n">
        <v>5.4</v>
      </c>
      <c r="BX22" t="n">
        <v>3.9</v>
      </c>
    </row>
    <row r="23">
      <c r="A23" t="n">
        <v>2</v>
      </c>
      <c r="B23" t="inlineStr">
        <is>
          <t>2996/84</t>
        </is>
      </c>
      <c r="C23" t="inlineStr">
        <is>
          <t>Гнатюка Катерина Олегівна</t>
        </is>
      </c>
      <c r="D23" t="n">
        <v>64</v>
      </c>
      <c r="E23" t="inlineStr">
        <is>
          <t>ж</t>
        </is>
      </c>
      <c r="F23" t="inlineStr">
        <is>
          <t>син Володимир 0679932157</t>
        </is>
      </c>
      <c r="G23" t="inlineStr">
        <is>
          <t>Негосп дв полісегм пнев 3 кл гр</t>
        </is>
      </c>
      <c r="H23" t="inlineStr">
        <is>
          <t>серед важ</t>
        </is>
      </c>
      <c r="I23" t="inlineStr">
        <is>
          <t>ІІ</t>
        </is>
      </c>
      <c r="K23" t="inlineStr">
        <is>
          <t>ІХС ДК ГХст2 СНІІа</t>
        </is>
      </c>
      <c r="L23" s="4" t="n">
        <v>0.05</v>
      </c>
      <c r="M23" t="inlineStr">
        <is>
          <t>легкий</t>
        </is>
      </c>
      <c r="N23" t="inlineStr">
        <is>
          <t>Co-rads-1</t>
        </is>
      </c>
      <c r="O23" t="n">
        <v>96</v>
      </c>
      <c r="Q23" t="n">
        <v>98</v>
      </c>
      <c r="R23" t="n">
        <v>14</v>
      </c>
      <c r="S23" s="2" t="n">
        <v>44516</v>
      </c>
      <c r="T23" s="2" t="n">
        <v>44519</v>
      </c>
      <c r="U23" t="n">
        <v>3</v>
      </c>
      <c r="W23" t="inlineStr">
        <is>
          <t>1 день в стац</t>
        </is>
      </c>
      <c r="Y23" t="inlineStr">
        <is>
          <t>3 дні в стац</t>
        </is>
      </c>
      <c r="Z23" t="inlineStr">
        <is>
          <t>130/90</t>
        </is>
      </c>
      <c r="AA23" t="inlineStr">
        <is>
          <t>120/80</t>
        </is>
      </c>
      <c r="AC23" t="inlineStr">
        <is>
          <t>чергування помірних та значних інтерст змін</t>
        </is>
      </c>
      <c r="AD23" t="n">
        <v>127</v>
      </c>
      <c r="AE23" t="n">
        <v>145</v>
      </c>
      <c r="AF23" t="n">
        <v>5.1</v>
      </c>
      <c r="AG23" t="n">
        <v>9.4</v>
      </c>
      <c r="AH23" t="n">
        <v>9</v>
      </c>
      <c r="AI23" t="n">
        <v>7</v>
      </c>
      <c r="AJ23" t="n">
        <v>74</v>
      </c>
      <c r="AK23" t="n">
        <v>86</v>
      </c>
      <c r="AL23" t="n">
        <v>22.8</v>
      </c>
      <c r="AM23" t="n">
        <v>4</v>
      </c>
      <c r="AN23" t="n">
        <v>10</v>
      </c>
      <c r="AO23" t="n">
        <v>18</v>
      </c>
      <c r="AQ23" t="n">
        <v>72</v>
      </c>
      <c r="AR23" t="n">
        <v>17.7</v>
      </c>
      <c r="AY23" t="n">
        <v>42</v>
      </c>
      <c r="AZ23" t="n">
        <v>40.8</v>
      </c>
      <c r="BA23" t="n">
        <v>18</v>
      </c>
      <c r="BB23" t="n">
        <v>17</v>
      </c>
      <c r="BC23" t="n">
        <v>2.8</v>
      </c>
      <c r="BD23" t="n">
        <v>3.1</v>
      </c>
      <c r="BF23" t="n">
        <v>1.3</v>
      </c>
      <c r="BG23" t="n">
        <v>79.2</v>
      </c>
      <c r="BH23" t="n">
        <v>68</v>
      </c>
      <c r="BI23" t="n">
        <v>5.9</v>
      </c>
      <c r="BJ23" t="n">
        <v>6.7</v>
      </c>
      <c r="BK23" t="n">
        <v>93.90000000000001</v>
      </c>
      <c r="BL23" t="n">
        <v>83</v>
      </c>
      <c r="BM23" t="n">
        <v>7.95</v>
      </c>
      <c r="BN23" t="n">
        <v>7.4</v>
      </c>
      <c r="BO23" t="n">
        <v>2.85</v>
      </c>
      <c r="BP23" t="n">
        <v>2</v>
      </c>
      <c r="BQ23" t="n">
        <v>5.1</v>
      </c>
      <c r="BS23" t="n">
        <v>41.4</v>
      </c>
      <c r="BT23" t="n">
        <v>102</v>
      </c>
      <c r="BU23" t="n">
        <v>25</v>
      </c>
      <c r="BV23" t="n">
        <v>62</v>
      </c>
      <c r="BW23" t="n">
        <v>6</v>
      </c>
      <c r="BX23" t="n">
        <v>14.3</v>
      </c>
      <c r="BY23" t="inlineStr">
        <is>
          <t>знах на стац лікув у війск госпіт 7 днів і самос відмовил від лікув</t>
        </is>
      </c>
    </row>
    <row r="24">
      <c r="A24" t="n">
        <v>2</v>
      </c>
      <c r="B24" t="n">
        <v>2320</v>
      </c>
      <c r="C24" t="inlineStr">
        <is>
          <t>Кулика Наталія Олександрівна</t>
        </is>
      </c>
      <c r="D24" t="n">
        <v>62</v>
      </c>
      <c r="E24" t="inlineStr">
        <is>
          <t>ж</t>
        </is>
      </c>
      <c r="F24" t="inlineStr">
        <is>
          <t>0675795111, дочка 0954432568</t>
        </is>
      </c>
      <c r="G24" t="inlineStr">
        <is>
          <t>Негосп дв полісегм пнев 3 кл гр</t>
        </is>
      </c>
      <c r="H24" t="inlineStr">
        <is>
          <t>серед важ</t>
        </is>
      </c>
      <c r="I24" t="inlineStr">
        <is>
          <t>І-ІІ</t>
        </is>
      </c>
      <c r="K24" t="inlineStr">
        <is>
          <t>ІХС ДК ГХст2 СНІІа</t>
        </is>
      </c>
      <c r="L24" s="4" t="n">
        <v>0.25</v>
      </c>
      <c r="M24" t="inlineStr">
        <is>
          <t>серед ступ</t>
        </is>
      </c>
      <c r="O24" t="n">
        <v>98</v>
      </c>
      <c r="Q24" t="n">
        <v>97</v>
      </c>
      <c r="R24" t="n">
        <v>4</v>
      </c>
      <c r="S24" s="2" t="n">
        <v>44429</v>
      </c>
      <c r="T24" s="2" t="n">
        <v>44441</v>
      </c>
      <c r="U24" t="n">
        <v>12</v>
      </c>
      <c r="W24" t="inlineStr">
        <is>
          <t>5 днів до госп</t>
        </is>
      </c>
      <c r="Y24" t="inlineStr">
        <is>
          <t>5 днів в стац</t>
        </is>
      </c>
      <c r="Z24" t="inlineStr">
        <is>
          <t>130/80</t>
        </is>
      </c>
      <c r="AA24" t="inlineStr">
        <is>
          <t>130/80</t>
        </is>
      </c>
      <c r="AC24" t="inlineStr">
        <is>
          <t>в синусах рідина зліва, вираж інтерст та кортикальні зміни</t>
        </is>
      </c>
      <c r="AD24" t="n">
        <v>144</v>
      </c>
      <c r="AE24" t="n">
        <v>150</v>
      </c>
      <c r="AF24" t="n">
        <v>4.2</v>
      </c>
      <c r="AG24" t="n">
        <v>6.8</v>
      </c>
      <c r="AH24" t="n">
        <v>8</v>
      </c>
      <c r="AI24" t="n">
        <v>8</v>
      </c>
      <c r="AJ24" t="n">
        <v>58</v>
      </c>
      <c r="AK24" t="n">
        <v>73</v>
      </c>
      <c r="AL24" t="n">
        <v>29</v>
      </c>
      <c r="AM24" t="n">
        <v>16</v>
      </c>
      <c r="AN24" t="n">
        <v>11</v>
      </c>
      <c r="AO24" t="n">
        <v>21</v>
      </c>
      <c r="AY24" t="n">
        <v>40</v>
      </c>
      <c r="AZ24" t="n">
        <v>48</v>
      </c>
      <c r="BA24" t="n">
        <v>20</v>
      </c>
      <c r="BB24" t="n">
        <v>23</v>
      </c>
      <c r="BC24" t="n">
        <v>6.9</v>
      </c>
      <c r="BD24" t="n">
        <v>1.7</v>
      </c>
      <c r="BG24" t="n">
        <v>58</v>
      </c>
      <c r="BH24" t="n">
        <v>64</v>
      </c>
      <c r="BI24" t="n">
        <v>4.6</v>
      </c>
      <c r="BJ24" t="n">
        <v>5</v>
      </c>
      <c r="BK24" t="n">
        <v>73</v>
      </c>
      <c r="BL24" t="n">
        <v>77</v>
      </c>
      <c r="BM24" t="n">
        <v>15.3</v>
      </c>
      <c r="BN24" t="n">
        <v>15.3</v>
      </c>
      <c r="BO24" t="n">
        <v>5.1</v>
      </c>
      <c r="BP24" t="n">
        <v>5.1</v>
      </c>
      <c r="BQ24" t="n">
        <v>10.2</v>
      </c>
      <c r="BR24" t="n">
        <v>10.2</v>
      </c>
      <c r="BS24" t="n">
        <v>0.8</v>
      </c>
      <c r="BT24" t="n">
        <v>2.5</v>
      </c>
      <c r="BU24" t="n">
        <v>0.6</v>
      </c>
      <c r="BV24" t="n">
        <v>2.4</v>
      </c>
      <c r="BW24" t="n">
        <v>6.9</v>
      </c>
      <c r="BX24" t="n">
        <v>6.9</v>
      </c>
      <c r="BY24" t="inlineStr">
        <is>
          <t>екстерпація маки, медикаментозна алеогрія</t>
        </is>
      </c>
    </row>
    <row r="25">
      <c r="A25" t="n">
        <v>2</v>
      </c>
      <c r="B25" t="n">
        <v>2252</v>
      </c>
      <c r="C25" t="inlineStr">
        <is>
          <t>Єрмолюк Степан Іванович</t>
        </is>
      </c>
      <c r="D25" t="n">
        <v>61</v>
      </c>
      <c r="E25" t="inlineStr">
        <is>
          <t>ч</t>
        </is>
      </c>
      <c r="F25" t="inlineStr">
        <is>
          <t>0966327926, син 0635154742</t>
        </is>
      </c>
      <c r="G25" t="inlineStr">
        <is>
          <t>Негосп дв полісегм пнев 3 кл гр</t>
        </is>
      </c>
      <c r="H25" t="inlineStr">
        <is>
          <t>серед важ</t>
        </is>
      </c>
      <c r="I25" t="inlineStr">
        <is>
          <t>І-ІІ</t>
        </is>
      </c>
      <c r="K25" t="inlineStr">
        <is>
          <t>ЦД тип 2, ІХС ДК ГХст2 ГЛШ СНІІа</t>
        </is>
      </c>
      <c r="L25" t="inlineStr">
        <is>
          <t>65-70%</t>
        </is>
      </c>
      <c r="M25" t="inlineStr">
        <is>
          <t>важкий</t>
        </is>
      </c>
      <c r="O25" t="n">
        <v>89</v>
      </c>
      <c r="P25" t="n">
        <v>96</v>
      </c>
      <c r="Q25" t="n">
        <v>98</v>
      </c>
      <c r="R25" t="n">
        <v>14</v>
      </c>
      <c r="S25" s="2" t="n">
        <v>44432</v>
      </c>
      <c r="T25" s="2" t="n">
        <v>44446</v>
      </c>
      <c r="U25" t="n">
        <v>14</v>
      </c>
      <c r="X25" t="inlineStr">
        <is>
          <t>14 днів до госп</t>
        </is>
      </c>
      <c r="Y25" t="inlineStr">
        <is>
          <t>2 дні в стац</t>
        </is>
      </c>
      <c r="Z25" t="inlineStr">
        <is>
          <t>200/120</t>
        </is>
      </c>
      <c r="AA25" t="inlineStr">
        <is>
          <t>140/90</t>
        </is>
      </c>
      <c r="AB25" t="n">
        <v>11</v>
      </c>
      <c r="AC25" t="inlineStr">
        <is>
          <t>КТ ОГК-помірна позитивна динаміка</t>
        </is>
      </c>
      <c r="AD25" t="n">
        <v>116</v>
      </c>
      <c r="AE25" t="n">
        <v>136</v>
      </c>
      <c r="AF25" t="n">
        <v>4.7</v>
      </c>
      <c r="AG25" t="n">
        <v>8.1</v>
      </c>
      <c r="AH25" t="n">
        <v>16</v>
      </c>
      <c r="AI25" t="n">
        <v>7</v>
      </c>
      <c r="AJ25" t="n">
        <v>74</v>
      </c>
      <c r="AK25" t="n">
        <v>61</v>
      </c>
      <c r="AL25" t="n">
        <v>10</v>
      </c>
      <c r="AM25" t="n">
        <v>29</v>
      </c>
      <c r="AN25" t="n">
        <v>62</v>
      </c>
      <c r="AO25" t="n">
        <v>44</v>
      </c>
      <c r="AY25" t="n">
        <v>35</v>
      </c>
      <c r="AZ25" t="n">
        <v>40</v>
      </c>
      <c r="BA25" t="n">
        <v>19</v>
      </c>
      <c r="BB25" t="n">
        <v>23</v>
      </c>
      <c r="BC25" t="n">
        <v>3.55</v>
      </c>
      <c r="BD25" t="n">
        <v>8.880000000000001</v>
      </c>
      <c r="BG25" t="n">
        <v>64</v>
      </c>
      <c r="BH25" t="n">
        <v>56</v>
      </c>
      <c r="BI25" t="n">
        <v>12</v>
      </c>
      <c r="BJ25" t="n">
        <v>10</v>
      </c>
      <c r="BK25" t="n">
        <v>213</v>
      </c>
      <c r="BL25" t="n">
        <v>130</v>
      </c>
      <c r="BM25" t="n">
        <v>13.6</v>
      </c>
      <c r="BN25" t="n">
        <v>13.6</v>
      </c>
      <c r="BO25" t="n">
        <v>3.4</v>
      </c>
      <c r="BP25" t="n">
        <v>3.4</v>
      </c>
      <c r="BQ25" t="n">
        <v>10.2</v>
      </c>
      <c r="BR25" t="n">
        <v>10.2</v>
      </c>
      <c r="BS25" t="n">
        <v>2.4</v>
      </c>
      <c r="BT25" t="n">
        <v>2.6</v>
      </c>
      <c r="BU25" t="n">
        <v>2.3</v>
      </c>
      <c r="BV25" t="n">
        <v>2.5</v>
      </c>
      <c r="BW25" t="n">
        <v>15.7</v>
      </c>
      <c r="BX25" t="n">
        <v>12</v>
      </c>
      <c r="BY25" t="inlineStr">
        <is>
          <t>білок в сечі, високий АТ</t>
        </is>
      </c>
    </row>
    <row r="26">
      <c r="A26" t="n">
        <v>2</v>
      </c>
      <c r="B26" t="inlineStr">
        <is>
          <t>2136/224</t>
        </is>
      </c>
      <c r="C26" t="inlineStr">
        <is>
          <t>Ватаманюк Ігор Дмитрович</t>
        </is>
      </c>
      <c r="D26" t="n">
        <v>68</v>
      </c>
      <c r="E26" t="inlineStr">
        <is>
          <t>ч</t>
        </is>
      </c>
      <c r="F26" t="inlineStr">
        <is>
          <t>дружина Юлія 0950856517</t>
        </is>
      </c>
      <c r="G26" t="inlineStr">
        <is>
          <t>Негосп дв полісегм пнев 3 кл гр</t>
        </is>
      </c>
      <c r="H26" t="inlineStr">
        <is>
          <t>серед важ</t>
        </is>
      </c>
      <c r="I26" t="inlineStr">
        <is>
          <t>ІІ</t>
        </is>
      </c>
      <c r="K26" t="inlineStr">
        <is>
          <t>ІХС ДК ГХст2 ГЛШст3 СН2</t>
        </is>
      </c>
      <c r="O26" t="n">
        <v>93</v>
      </c>
      <c r="Q26" t="n">
        <v>94</v>
      </c>
      <c r="R26" t="n">
        <v>10</v>
      </c>
      <c r="S26" s="2" t="n">
        <v>44439</v>
      </c>
      <c r="T26" s="2" t="n">
        <v>44449</v>
      </c>
      <c r="U26" t="n">
        <v>10</v>
      </c>
      <c r="X26" t="inlineStr">
        <is>
          <t>7 днів до госп</t>
        </is>
      </c>
      <c r="Z26" t="inlineStr">
        <is>
          <t>140/90</t>
        </is>
      </c>
      <c r="AA26" t="inlineStr">
        <is>
          <t>130/80</t>
        </is>
      </c>
      <c r="AC26" t="inlineStr">
        <is>
          <t>RoОГК-картина перенесеного запал легень, ознаки базального фіброзу</t>
        </is>
      </c>
      <c r="AD26" t="n">
        <v>160</v>
      </c>
      <c r="AE26" t="n">
        <v>141</v>
      </c>
      <c r="AF26" t="n">
        <v>9.300000000000001</v>
      </c>
      <c r="AG26" t="n">
        <v>6.7</v>
      </c>
      <c r="AH26" t="n">
        <v>12</v>
      </c>
      <c r="AI26" t="n">
        <v>4</v>
      </c>
      <c r="AJ26" t="n">
        <v>60</v>
      </c>
      <c r="AK26" t="n">
        <v>82</v>
      </c>
      <c r="AL26" t="n">
        <v>26</v>
      </c>
      <c r="AM26" t="n">
        <v>12</v>
      </c>
      <c r="AN26" t="n">
        <v>59</v>
      </c>
      <c r="AO26" t="n">
        <v>34</v>
      </c>
      <c r="AY26" t="n">
        <v>46</v>
      </c>
      <c r="AZ26" t="n">
        <v>48</v>
      </c>
      <c r="BA26" t="n">
        <v>24</v>
      </c>
      <c r="BB26" t="n">
        <v>19</v>
      </c>
      <c r="BC26" t="n">
        <v>8.359999999999999</v>
      </c>
      <c r="BD26" t="n">
        <v>7.98</v>
      </c>
      <c r="BG26" t="n">
        <v>66</v>
      </c>
      <c r="BH26" t="n">
        <v>60</v>
      </c>
      <c r="BI26" t="n">
        <v>9.9</v>
      </c>
      <c r="BJ26" t="n">
        <v>6.8</v>
      </c>
      <c r="BK26" t="n">
        <v>126</v>
      </c>
      <c r="BL26" t="n">
        <v>94</v>
      </c>
      <c r="BM26" t="n">
        <v>13.6</v>
      </c>
      <c r="BN26" t="n">
        <v>15.3</v>
      </c>
      <c r="BO26" t="n">
        <v>3.4</v>
      </c>
      <c r="BP26" t="n">
        <v>5.1</v>
      </c>
      <c r="BQ26" t="n">
        <v>10.2</v>
      </c>
      <c r="BR26" t="n">
        <v>10.2</v>
      </c>
      <c r="BS26" t="n">
        <v>2.5</v>
      </c>
      <c r="BT26" t="n">
        <v>2</v>
      </c>
      <c r="BU26" t="n">
        <v>2.4</v>
      </c>
      <c r="BV26" t="n">
        <v>1.8</v>
      </c>
      <c r="BW26" t="n">
        <v>7.5</v>
      </c>
      <c r="BX26" t="n">
        <v>8.9</v>
      </c>
      <c r="BY26" t="inlineStr">
        <is>
          <t>алкогольний делірій</t>
        </is>
      </c>
    </row>
    <row r="27">
      <c r="A27" t="n">
        <v>2</v>
      </c>
      <c r="B27" t="inlineStr">
        <is>
          <t>2129/293</t>
        </is>
      </c>
      <c r="C27" t="inlineStr">
        <is>
          <t>Шпака Ольга Павлівна</t>
        </is>
      </c>
      <c r="D27" t="n">
        <v>56</v>
      </c>
      <c r="E27" t="inlineStr">
        <is>
          <t>ж</t>
        </is>
      </c>
      <c r="F27" t="inlineStr">
        <is>
          <t>0675996775, син Сергій 0500314503</t>
        </is>
      </c>
      <c r="G27" t="inlineStr">
        <is>
          <t>Негосп дв полісегм пнев 3 кл гр</t>
        </is>
      </c>
      <c r="H27" t="inlineStr">
        <is>
          <t>серед важ</t>
        </is>
      </c>
      <c r="I27" t="inlineStr">
        <is>
          <t>І-ІІ</t>
        </is>
      </c>
      <c r="K27" t="inlineStr">
        <is>
          <t>ЦЖ ІІ тип</t>
        </is>
      </c>
      <c r="O27" t="n">
        <v>95</v>
      </c>
      <c r="Q27" t="n">
        <v>96</v>
      </c>
      <c r="R27" t="n">
        <v>7</v>
      </c>
      <c r="S27" s="2" t="n">
        <v>44442</v>
      </c>
      <c r="T27" s="2" t="n">
        <v>44453</v>
      </c>
      <c r="U27" t="n">
        <v>11</v>
      </c>
      <c r="W27" t="inlineStr">
        <is>
          <t>5 днів до госп</t>
        </is>
      </c>
      <c r="Y27" t="inlineStr">
        <is>
          <t>1 день в стац</t>
        </is>
      </c>
      <c r="Z27" t="inlineStr">
        <is>
          <t>140/90</t>
        </is>
      </c>
      <c r="AA27" t="inlineStr">
        <is>
          <t>130/80</t>
        </is>
      </c>
      <c r="AC27" t="inlineStr">
        <is>
          <t>RоОГК-змен пневматиз в н/відд обоз легень, фіброзні зміни</t>
        </is>
      </c>
      <c r="AE27" t="n">
        <v>142</v>
      </c>
      <c r="AG27" t="n">
        <v>3.6</v>
      </c>
      <c r="AI27" t="n">
        <v>4</v>
      </c>
      <c r="AK27" t="n">
        <v>55</v>
      </c>
      <c r="AM27" t="n">
        <v>39</v>
      </c>
      <c r="AO27" t="n">
        <v>5</v>
      </c>
      <c r="AZ27" t="n">
        <v>44</v>
      </c>
      <c r="BB27" t="n">
        <v>22</v>
      </c>
      <c r="BD27" t="n">
        <v>5.1</v>
      </c>
      <c r="BG27" t="n">
        <v>76</v>
      </c>
      <c r="BH27" t="n">
        <v>68</v>
      </c>
      <c r="BI27" t="n">
        <v>7.2</v>
      </c>
      <c r="BJ27" t="n">
        <v>5</v>
      </c>
      <c r="BK27" t="n">
        <v>100</v>
      </c>
      <c r="BL27" t="n">
        <v>77</v>
      </c>
      <c r="BM27" t="n">
        <v>15.3</v>
      </c>
      <c r="BN27" t="n">
        <v>15.3</v>
      </c>
      <c r="BO27" t="n">
        <v>5.1</v>
      </c>
      <c r="BP27" t="n">
        <v>5.1</v>
      </c>
      <c r="BQ27" t="n">
        <v>10.2</v>
      </c>
      <c r="BR27" t="n">
        <v>10.2</v>
      </c>
      <c r="BS27" t="n">
        <v>2.8</v>
      </c>
      <c r="BT27" t="n">
        <v>3</v>
      </c>
      <c r="BU27" t="n">
        <v>2.7</v>
      </c>
      <c r="BV27" t="n">
        <v>2.9</v>
      </c>
      <c r="BW27" t="n">
        <v>6</v>
      </c>
      <c r="BX27" t="n">
        <v>5.6</v>
      </c>
    </row>
    <row r="28">
      <c r="A28" t="n">
        <v>2</v>
      </c>
      <c r="B28" t="inlineStr">
        <is>
          <t>1738/55</t>
        </is>
      </c>
      <c r="C28" t="inlineStr">
        <is>
          <t>Гринчука Ольга Богданівна</t>
        </is>
      </c>
      <c r="D28" t="n">
        <v>60</v>
      </c>
      <c r="E28" t="inlineStr">
        <is>
          <t>ж</t>
        </is>
      </c>
      <c r="F28" t="inlineStr">
        <is>
          <t>0953924196, чол.Володимир 0998982104</t>
        </is>
      </c>
      <c r="G28" t="inlineStr">
        <is>
          <t>Негосп дв полісегм пнев 3 кл гр</t>
        </is>
      </c>
      <c r="H28" t="inlineStr">
        <is>
          <t>серед важ</t>
        </is>
      </c>
      <c r="I28" t="inlineStr">
        <is>
          <t>ІІ</t>
        </is>
      </c>
      <c r="K28" t="inlineStr">
        <is>
          <t>ЦД тип 2, ІХС ДК СНст1 ФК ІІІ</t>
        </is>
      </c>
      <c r="L28" t="inlineStr">
        <is>
          <t>25-30%</t>
        </is>
      </c>
      <c r="M28" t="inlineStr">
        <is>
          <t>серед ступ</t>
        </is>
      </c>
      <c r="O28" t="n">
        <v>96</v>
      </c>
      <c r="Q28" t="n">
        <v>97</v>
      </c>
      <c r="R28" t="n">
        <v>10</v>
      </c>
      <c r="S28" s="2" t="n">
        <v>44446</v>
      </c>
      <c r="T28" s="2" t="n">
        <v>44454</v>
      </c>
      <c r="U28" t="n">
        <v>8</v>
      </c>
      <c r="W28" t="inlineStr">
        <is>
          <t>5 днів до госп</t>
        </is>
      </c>
      <c r="Y28" t="inlineStr">
        <is>
          <t>4 дні в стац</t>
        </is>
      </c>
      <c r="Z28" t="inlineStr">
        <is>
          <t>140/90</t>
        </is>
      </c>
      <c r="AA28" t="inlineStr">
        <is>
          <t>130/80</t>
        </is>
      </c>
      <c r="AC28" t="inlineStr">
        <is>
          <t>RоОГК-картина перенес запал легень, форм вогнищ фіброзу</t>
        </is>
      </c>
      <c r="AD28" t="n">
        <v>146</v>
      </c>
      <c r="AE28" t="n">
        <v>117</v>
      </c>
      <c r="AF28" t="n">
        <v>7.3</v>
      </c>
      <c r="AG28" t="n">
        <v>8.300000000000001</v>
      </c>
      <c r="AH28" t="n">
        <v>9</v>
      </c>
      <c r="AI28" t="n">
        <v>2</v>
      </c>
      <c r="AJ28" t="n">
        <v>65</v>
      </c>
      <c r="AK28" t="n">
        <v>78</v>
      </c>
      <c r="AL28" t="n">
        <v>21</v>
      </c>
      <c r="AM28" t="n">
        <v>12</v>
      </c>
      <c r="AN28" t="n">
        <v>26</v>
      </c>
      <c r="AO28" t="n">
        <v>13</v>
      </c>
      <c r="AY28" t="n">
        <v>40</v>
      </c>
      <c r="AZ28" t="n">
        <v>40</v>
      </c>
      <c r="BA28" t="n">
        <v>23</v>
      </c>
      <c r="BB28" t="n">
        <v>20</v>
      </c>
      <c r="BC28" t="n">
        <v>4.88</v>
      </c>
      <c r="BD28" t="n">
        <v>4.21</v>
      </c>
      <c r="BG28" t="n">
        <v>60</v>
      </c>
      <c r="BH28" t="n">
        <v>68</v>
      </c>
      <c r="BI28" t="n">
        <v>4.5</v>
      </c>
      <c r="BK28" t="n">
        <v>72</v>
      </c>
      <c r="BM28" t="n">
        <v>15.3</v>
      </c>
      <c r="BN28" t="n">
        <v>18.7</v>
      </c>
      <c r="BO28" t="n">
        <v>5.1</v>
      </c>
      <c r="BP28" t="n">
        <v>5.1</v>
      </c>
      <c r="BQ28" t="n">
        <v>10.2</v>
      </c>
      <c r="BR28" t="n">
        <v>13.6</v>
      </c>
      <c r="BS28" t="n">
        <v>2.2</v>
      </c>
      <c r="BT28" t="n">
        <v>2.2</v>
      </c>
      <c r="BU28" t="n">
        <v>2.1</v>
      </c>
      <c r="BV28" t="n">
        <v>2.1</v>
      </c>
      <c r="BW28" t="n">
        <v>10</v>
      </c>
      <c r="BX28" t="n">
        <v>12</v>
      </c>
    </row>
    <row r="29">
      <c r="A29" t="n">
        <v>2</v>
      </c>
      <c r="B29" t="inlineStr">
        <is>
          <t>3018/419</t>
        </is>
      </c>
      <c r="C29" t="inlineStr">
        <is>
          <t>Харитонюка Юлія Петрівна</t>
        </is>
      </c>
      <c r="D29" t="n">
        <v>56</v>
      </c>
      <c r="E29" t="inlineStr">
        <is>
          <t>ж</t>
        </is>
      </c>
      <c r="F29" t="inlineStr">
        <is>
          <t>0954754072, дочка Христина 0507547354</t>
        </is>
      </c>
      <c r="G29" t="inlineStr">
        <is>
          <t>Негосп дв полісегм пнев 3 кл гр</t>
        </is>
      </c>
      <c r="H29" t="inlineStr">
        <is>
          <t>серед важ</t>
        </is>
      </c>
      <c r="I29" t="inlineStr">
        <is>
          <t>І-ІІ</t>
        </is>
      </c>
      <c r="K29" t="inlineStr">
        <is>
          <t>Хрон гастродуоденіт</t>
        </is>
      </c>
      <c r="L29" s="4" t="n">
        <v>0.4</v>
      </c>
      <c r="M29" t="inlineStr">
        <is>
          <t>серед ступ</t>
        </is>
      </c>
      <c r="O29" t="n">
        <v>97</v>
      </c>
      <c r="Q29" t="n">
        <v>96</v>
      </c>
      <c r="R29" t="n">
        <v>10</v>
      </c>
      <c r="S29" s="2" t="n">
        <v>44440</v>
      </c>
      <c r="T29" s="2" t="n">
        <v>44450</v>
      </c>
      <c r="U29" t="n">
        <v>10</v>
      </c>
      <c r="X29" t="inlineStr">
        <is>
          <t>7 днів до госп+2дні в стац</t>
        </is>
      </c>
      <c r="Z29" t="inlineStr">
        <is>
          <t>130/80</t>
        </is>
      </c>
      <c r="AA29" t="inlineStr">
        <is>
          <t>130/80</t>
        </is>
      </c>
      <c r="AC29" t="inlineStr">
        <is>
          <t>RoОГК-картина перенесеного запал легень</t>
        </is>
      </c>
      <c r="AD29" t="n">
        <v>144</v>
      </c>
      <c r="AE29" t="n">
        <v>128</v>
      </c>
      <c r="AF29" t="n">
        <v>4.7</v>
      </c>
      <c r="AG29" t="n">
        <v>6.7</v>
      </c>
      <c r="AH29" t="n">
        <v>25</v>
      </c>
      <c r="AI29" t="n">
        <v>2</v>
      </c>
      <c r="AJ29" t="n">
        <v>65</v>
      </c>
      <c r="AK29" t="n">
        <v>42</v>
      </c>
      <c r="AL29" t="n">
        <v>6</v>
      </c>
      <c r="AM29" t="n">
        <v>50</v>
      </c>
      <c r="AN29" t="n">
        <v>6</v>
      </c>
      <c r="AO29" t="n">
        <v>15</v>
      </c>
      <c r="AY29" t="n">
        <v>48</v>
      </c>
      <c r="AZ29" t="n">
        <v>48</v>
      </c>
      <c r="BA29" t="n">
        <v>19</v>
      </c>
      <c r="BB29" t="n">
        <v>20</v>
      </c>
      <c r="BC29" t="n">
        <v>7.77</v>
      </c>
      <c r="BD29" t="n">
        <v>4.2</v>
      </c>
      <c r="BG29" t="n">
        <v>64</v>
      </c>
      <c r="BH29" t="n">
        <v>70</v>
      </c>
      <c r="BI29" t="n">
        <v>5.1</v>
      </c>
      <c r="BJ29" t="n">
        <v>7.8</v>
      </c>
      <c r="BK29" t="n">
        <v>78</v>
      </c>
      <c r="BL29" t="n">
        <v>105</v>
      </c>
      <c r="BM29" t="n">
        <v>42.6</v>
      </c>
      <c r="BN29" t="n">
        <v>15.3</v>
      </c>
      <c r="BO29" t="n">
        <v>5.1</v>
      </c>
      <c r="BP29" t="n">
        <v>5.1</v>
      </c>
      <c r="BQ29" t="n">
        <v>10.2</v>
      </c>
      <c r="BR29" t="n">
        <v>10.2</v>
      </c>
      <c r="BS29" t="n">
        <v>0.8</v>
      </c>
      <c r="BT29" t="n">
        <v>1.6</v>
      </c>
      <c r="BU29" t="n">
        <v>0.6</v>
      </c>
      <c r="BV29" t="n">
        <v>1.4</v>
      </c>
      <c r="BW29" t="n">
        <v>6.9</v>
      </c>
      <c r="BX29" t="n">
        <v>6.25</v>
      </c>
    </row>
    <row r="30">
      <c r="A30" t="n">
        <v>2</v>
      </c>
      <c r="B30" t="inlineStr">
        <is>
          <t>391/531</t>
        </is>
      </c>
      <c r="C30" t="inlineStr">
        <is>
          <t>Юрійчука Марія Олександрівна</t>
        </is>
      </c>
      <c r="D30" t="n">
        <v>44</v>
      </c>
      <c r="E30" t="inlineStr">
        <is>
          <t>ж</t>
        </is>
      </c>
      <c r="F30" t="n">
        <v>506188479</v>
      </c>
      <c r="G30" t="inlineStr">
        <is>
          <t>Негосп дв полісегм пнев 3 кл гр</t>
        </is>
      </c>
      <c r="H30" t="inlineStr">
        <is>
          <t>серед важ</t>
        </is>
      </c>
      <c r="I30" t="inlineStr">
        <is>
          <t>І</t>
        </is>
      </c>
      <c r="L30" s="4" t="n">
        <v>0.08</v>
      </c>
      <c r="M30" t="inlineStr">
        <is>
          <t>легка</t>
        </is>
      </c>
      <c r="O30" t="n">
        <v>98</v>
      </c>
      <c r="Q30" t="n">
        <v>98</v>
      </c>
      <c r="R30" t="n">
        <v>7</v>
      </c>
      <c r="S30" s="2" t="n">
        <v>44484</v>
      </c>
      <c r="T30" s="2" t="n">
        <v>44496</v>
      </c>
      <c r="U30" t="n">
        <v>12</v>
      </c>
      <c r="X30" t="inlineStr">
        <is>
          <t>6 днів до госп</t>
        </is>
      </c>
      <c r="Y30" t="inlineStr">
        <is>
          <t>1 день в стац</t>
        </is>
      </c>
      <c r="Z30" t="inlineStr">
        <is>
          <t>120/80</t>
        </is>
      </c>
      <c r="AA30" t="inlineStr">
        <is>
          <t>120/80</t>
        </is>
      </c>
      <c r="AC30" t="inlineStr">
        <is>
          <t>помірні інтерст зміни в серед відд і ниж доля справа</t>
        </is>
      </c>
      <c r="AD30" t="n">
        <v>138</v>
      </c>
      <c r="AE30" t="n">
        <v>142</v>
      </c>
      <c r="AF30" t="n">
        <v>5.1</v>
      </c>
      <c r="AG30" t="n">
        <v>11</v>
      </c>
      <c r="AH30" t="n">
        <v>3</v>
      </c>
      <c r="AI30" t="n">
        <v>14</v>
      </c>
      <c r="AJ30" t="n">
        <v>56</v>
      </c>
      <c r="AK30" t="n">
        <v>66</v>
      </c>
      <c r="AL30" t="n">
        <v>30</v>
      </c>
      <c r="AM30" t="n">
        <v>18</v>
      </c>
      <c r="AN30" t="n">
        <v>14</v>
      </c>
      <c r="AO30" t="n">
        <v>17</v>
      </c>
      <c r="AP30" t="n">
        <v>12</v>
      </c>
      <c r="AQ30" t="n">
        <v>6</v>
      </c>
      <c r="AY30" t="n">
        <v>44</v>
      </c>
      <c r="AZ30" t="n">
        <v>50</v>
      </c>
      <c r="BA30" t="n">
        <v>14.6</v>
      </c>
      <c r="BB30" t="n">
        <v>10.7</v>
      </c>
      <c r="BC30" t="n">
        <v>2.6</v>
      </c>
      <c r="BD30" t="n">
        <v>3.2</v>
      </c>
      <c r="BE30" t="n">
        <v>1.35</v>
      </c>
      <c r="BF30" t="n">
        <v>1.02</v>
      </c>
      <c r="BG30" t="n">
        <v>76</v>
      </c>
      <c r="BH30" t="n">
        <v>70</v>
      </c>
      <c r="BI30" t="n">
        <v>5.7</v>
      </c>
      <c r="BJ30" t="n">
        <v>5</v>
      </c>
      <c r="BK30" t="n">
        <v>101</v>
      </c>
      <c r="BL30" t="n">
        <v>94</v>
      </c>
      <c r="BM30" t="n">
        <v>17</v>
      </c>
      <c r="BN30" t="n">
        <v>18.7</v>
      </c>
      <c r="BO30" t="n">
        <v>6.8</v>
      </c>
      <c r="BQ30" t="n">
        <v>10.2</v>
      </c>
      <c r="BS30" t="n">
        <v>1</v>
      </c>
      <c r="BT30" t="n">
        <v>23.8</v>
      </c>
      <c r="BU30" t="n">
        <v>0.5</v>
      </c>
      <c r="BV30" t="n">
        <v>31.25</v>
      </c>
      <c r="BW30" t="n">
        <v>4.7</v>
      </c>
      <c r="BX30" t="n">
        <v>3.5</v>
      </c>
    </row>
    <row r="31">
      <c r="A31" t="n">
        <v>2</v>
      </c>
      <c r="B31" t="inlineStr">
        <is>
          <t>1006/224</t>
        </is>
      </c>
      <c r="C31" t="inlineStr">
        <is>
          <t>Яворськийа Зоряна Дмитрівна</t>
        </is>
      </c>
      <c r="D31" t="n">
        <v>69</v>
      </c>
      <c r="E31" t="inlineStr">
        <is>
          <t>ж</t>
        </is>
      </c>
      <c r="F31" t="inlineStr">
        <is>
          <t>дочка Тетяна 0638861930</t>
        </is>
      </c>
      <c r="G31" t="inlineStr">
        <is>
          <t>Негосп дв полісегм пнев 4 кл гр</t>
        </is>
      </c>
      <c r="H31" t="inlineStr">
        <is>
          <t>важкий</t>
        </is>
      </c>
      <c r="I31" t="inlineStr">
        <is>
          <t>ІІ-ІІІ</t>
        </is>
      </c>
      <c r="K31" t="inlineStr">
        <is>
          <t>ІХС ДК СН2ст</t>
        </is>
      </c>
      <c r="O31" t="n">
        <v>74</v>
      </c>
      <c r="P31" t="n">
        <v>88</v>
      </c>
      <c r="Q31" s="12" t="inlineStr">
        <is>
          <t>98 на конц</t>
        </is>
      </c>
      <c r="R31" t="n">
        <v>6</v>
      </c>
      <c r="S31" s="2" t="n">
        <v>44315</v>
      </c>
      <c r="T31" s="2" t="n">
        <v>44380</v>
      </c>
      <c r="U31" t="n">
        <v>65</v>
      </c>
      <c r="W31" t="inlineStr">
        <is>
          <t>6 днів до госп</t>
        </is>
      </c>
      <c r="X31" t="inlineStr">
        <is>
          <t>перш 10 днів в стац</t>
        </is>
      </c>
      <c r="Y31" t="inlineStr">
        <is>
          <t>періодично протяг лікув в стац</t>
        </is>
      </c>
      <c r="Z31" t="inlineStr">
        <is>
          <t>130/80</t>
        </is>
      </c>
      <c r="AA31" t="inlineStr">
        <is>
          <t>130/80</t>
        </is>
      </c>
      <c r="AB31" t="n">
        <v>65</v>
      </c>
      <c r="AC31" t="inlineStr">
        <is>
          <t>інтерст зміни в прав легені в ниж долі, в середній 1/3 легені кортикальні зміни, верх 1/3 інтерст зміни</t>
        </is>
      </c>
      <c r="AD31" t="n">
        <v>126</v>
      </c>
      <c r="AE31" t="n">
        <v>122</v>
      </c>
      <c r="AF31" t="n">
        <v>3.6</v>
      </c>
      <c r="AG31" t="n">
        <v>8.6</v>
      </c>
      <c r="AH31" t="n">
        <v>26</v>
      </c>
      <c r="AI31" t="n">
        <v>9</v>
      </c>
      <c r="AJ31" t="n">
        <v>46</v>
      </c>
      <c r="AK31" t="n">
        <v>69</v>
      </c>
      <c r="AL31" t="n">
        <v>26</v>
      </c>
      <c r="AM31" t="n">
        <v>19</v>
      </c>
      <c r="AN31" t="n">
        <v>33</v>
      </c>
      <c r="AO31" t="n">
        <v>33</v>
      </c>
      <c r="AP31" t="n">
        <v>28</v>
      </c>
      <c r="AQ31" t="n">
        <v>7</v>
      </c>
      <c r="AY31" t="n">
        <v>42</v>
      </c>
      <c r="AZ31" t="n">
        <v>30</v>
      </c>
      <c r="BB31" t="n">
        <v>19</v>
      </c>
      <c r="BC31" t="n">
        <v>3.9</v>
      </c>
      <c r="BD31" t="n">
        <v>3.55</v>
      </c>
      <c r="BG31" t="n">
        <v>66</v>
      </c>
      <c r="BH31" t="n">
        <v>60</v>
      </c>
      <c r="BI31" t="n">
        <v>6</v>
      </c>
      <c r="BJ31" t="n">
        <v>6.8</v>
      </c>
      <c r="BK31" t="n">
        <v>103</v>
      </c>
      <c r="BL31" t="n">
        <v>95</v>
      </c>
      <c r="BM31" t="n">
        <v>13.6</v>
      </c>
      <c r="BN31" t="n">
        <v>10.2</v>
      </c>
      <c r="BO31" t="n">
        <v>3.4</v>
      </c>
      <c r="BP31" t="n">
        <v>3.4</v>
      </c>
      <c r="BQ31" t="n">
        <v>10.2</v>
      </c>
      <c r="BR31" t="n">
        <v>6.8</v>
      </c>
      <c r="BS31" t="n">
        <v>1.2</v>
      </c>
      <c r="BT31" t="n">
        <v>1.4</v>
      </c>
      <c r="BU31" t="n">
        <v>0.8</v>
      </c>
      <c r="BV31" t="n">
        <v>1.2</v>
      </c>
      <c r="BW31" t="n">
        <v>5.1</v>
      </c>
      <c r="BX31" t="n">
        <v>4.6</v>
      </c>
      <c r="BY31" t="inlineStr">
        <is>
          <t>ожиріння ІІ ст, виписана на концентраторі, суїцидальні думки</t>
        </is>
      </c>
    </row>
    <row r="32">
      <c r="A32" t="n">
        <v>2</v>
      </c>
      <c r="B32" t="n">
        <v>3304</v>
      </c>
      <c r="C32" t="inlineStr">
        <is>
          <t>Шпака Христина Сергіївна</t>
        </is>
      </c>
      <c r="D32" t="n">
        <v>55</v>
      </c>
      <c r="E32" t="inlineStr">
        <is>
          <t>ж</t>
        </is>
      </c>
      <c r="F32" t="inlineStr">
        <is>
          <t>0995568983, чол Сергій 0679822290</t>
        </is>
      </c>
      <c r="G32" t="inlineStr">
        <is>
          <t>Негосп дв полісегм пнев 3 кл гр</t>
        </is>
      </c>
      <c r="H32" t="inlineStr">
        <is>
          <t>серед важ</t>
        </is>
      </c>
      <c r="I32" t="inlineStr">
        <is>
          <t>І-ІІ</t>
        </is>
      </c>
      <c r="K32" t="inlineStr">
        <is>
          <t>ІХС Післяінфар кардіоск, ГХст3, ГЛШ СН2а</t>
        </is>
      </c>
      <c r="L32" s="4" t="n">
        <v>0.3</v>
      </c>
      <c r="M32" t="inlineStr">
        <is>
          <t>серед ступ</t>
        </is>
      </c>
      <c r="O32" t="n">
        <v>94</v>
      </c>
      <c r="Q32" t="n">
        <v>96</v>
      </c>
      <c r="R32" t="n">
        <v>6</v>
      </c>
      <c r="S32" s="2" t="n">
        <v>44477</v>
      </c>
      <c r="T32" s="2" t="n">
        <v>44489</v>
      </c>
      <c r="U32" t="n">
        <v>12</v>
      </c>
      <c r="W32" t="inlineStr">
        <is>
          <t>5 днів до госп</t>
        </is>
      </c>
      <c r="X32" t="inlineStr">
        <is>
          <t>1 день в стац</t>
        </is>
      </c>
      <c r="Y32" t="inlineStr">
        <is>
          <t>3 дні в стац</t>
        </is>
      </c>
      <c r="Z32" t="inlineStr">
        <is>
          <t>160/100</t>
        </is>
      </c>
      <c r="AA32" t="inlineStr">
        <is>
          <t>130/80</t>
        </is>
      </c>
      <c r="AC32" t="inlineStr">
        <is>
          <t>помірні інтерст зміни в серед та ниж 1/3, верх 1/3 легень, позит динаміка, незнач к-сть випоту -5мм</t>
        </is>
      </c>
      <c r="AD32" t="n">
        <v>154</v>
      </c>
      <c r="AE32" t="n">
        <v>144</v>
      </c>
      <c r="AF32" t="n">
        <v>3.7</v>
      </c>
      <c r="AG32" t="n">
        <v>15</v>
      </c>
      <c r="AH32" t="n">
        <v>13</v>
      </c>
      <c r="AI32" t="n">
        <v>14</v>
      </c>
      <c r="AJ32" t="n">
        <v>40</v>
      </c>
      <c r="AK32" t="n">
        <v>58</v>
      </c>
      <c r="AL32" t="n">
        <v>41</v>
      </c>
      <c r="AM32" t="n">
        <v>23</v>
      </c>
      <c r="AN32" t="n">
        <v>5</v>
      </c>
      <c r="AO32" t="n">
        <v>4</v>
      </c>
      <c r="AP32" t="n">
        <v>36</v>
      </c>
      <c r="AX32" t="n">
        <v>0.13</v>
      </c>
      <c r="AY32" t="n">
        <v>39</v>
      </c>
      <c r="AZ32" t="n">
        <v>44</v>
      </c>
      <c r="BA32" t="n">
        <v>11.3</v>
      </c>
      <c r="BB32" t="n">
        <v>13.3</v>
      </c>
      <c r="BC32" t="n">
        <v>4.2</v>
      </c>
      <c r="BD32" t="n">
        <v>2.9</v>
      </c>
      <c r="BE32" t="n">
        <v>1.08</v>
      </c>
      <c r="BF32" t="n">
        <v>1.24</v>
      </c>
      <c r="BG32" t="n">
        <v>58</v>
      </c>
      <c r="BH32" t="n">
        <v>60</v>
      </c>
      <c r="BI32" t="n">
        <v>5.3</v>
      </c>
      <c r="BJ32" t="n">
        <v>5.7</v>
      </c>
      <c r="BK32" t="n">
        <v>102</v>
      </c>
      <c r="BL32" t="n">
        <v>87</v>
      </c>
      <c r="BM32" t="n">
        <v>15.3</v>
      </c>
      <c r="BN32" t="n">
        <v>18.7</v>
      </c>
      <c r="BO32" t="n">
        <v>5.1</v>
      </c>
      <c r="BP32" t="n">
        <v>6.8</v>
      </c>
      <c r="BQ32" t="n">
        <v>10.2</v>
      </c>
      <c r="BR32" t="n">
        <v>11.9</v>
      </c>
      <c r="BS32" t="n">
        <v>0.6</v>
      </c>
      <c r="BT32" t="n">
        <v>28</v>
      </c>
      <c r="BU32" t="n">
        <v>0.4</v>
      </c>
      <c r="BV32" t="n">
        <v>18</v>
      </c>
      <c r="BW32" t="n">
        <v>4.2</v>
      </c>
      <c r="BX32" t="n">
        <v>5.4</v>
      </c>
    </row>
    <row r="33">
      <c r="A33" t="n">
        <v>2</v>
      </c>
      <c r="B33" t="inlineStr">
        <is>
          <t>2806/426</t>
        </is>
      </c>
      <c r="C33" t="inlineStr">
        <is>
          <t>Бондар Микола Романович</t>
        </is>
      </c>
      <c r="D33" t="n">
        <v>56</v>
      </c>
      <c r="E33" t="inlineStr">
        <is>
          <t>ч</t>
        </is>
      </c>
      <c r="F33" t="inlineStr">
        <is>
          <t>0672022697, невістка Тетяна 0960438581</t>
        </is>
      </c>
      <c r="G33" t="inlineStr">
        <is>
          <t>Негосп дв полісегм пнев 4 кл гр</t>
        </is>
      </c>
      <c r="H33" t="inlineStr">
        <is>
          <t>важкий</t>
        </is>
      </c>
      <c r="I33" t="inlineStr">
        <is>
          <t>ІІ-ІІІ</t>
        </is>
      </c>
      <c r="K33" t="inlineStr">
        <is>
          <t>ЦД 2тип, ІХС ДК ГХст2 ГЛШ СН2а Фібр передсер</t>
        </is>
      </c>
      <c r="O33" t="n">
        <v>84</v>
      </c>
      <c r="P33" t="n">
        <v>95</v>
      </c>
      <c r="Q33" t="n">
        <v>98</v>
      </c>
      <c r="R33" t="n">
        <v>10</v>
      </c>
      <c r="S33" s="2" t="n">
        <v>44544</v>
      </c>
      <c r="T33" s="2" t="n">
        <v>44561</v>
      </c>
      <c r="U33" t="n">
        <v>17</v>
      </c>
      <c r="X33" t="inlineStr">
        <is>
          <t>10 днів до госп</t>
        </is>
      </c>
      <c r="Z33" t="inlineStr">
        <is>
          <t>140/90</t>
        </is>
      </c>
      <c r="AA33" t="inlineStr">
        <is>
          <t>130/80</t>
        </is>
      </c>
      <c r="AB33" t="n">
        <v>13</v>
      </c>
      <c r="AC33" t="inlineStr">
        <is>
          <t>незначні інтерст зміни в верх долях та поодинокі діл в ниж долях прав легені,зліва поодин В-лінії в верх долі</t>
        </is>
      </c>
      <c r="AD33" t="n">
        <v>182</v>
      </c>
      <c r="AE33" t="n">
        <v>148</v>
      </c>
      <c r="AF33" t="n">
        <v>10.2</v>
      </c>
      <c r="AG33" t="n">
        <v>12</v>
      </c>
      <c r="AH33" t="n">
        <v>25</v>
      </c>
      <c r="AI33" t="n">
        <v>9</v>
      </c>
      <c r="AJ33" t="n">
        <v>65</v>
      </c>
      <c r="AK33" t="n">
        <v>78</v>
      </c>
      <c r="AL33" t="n">
        <v>9</v>
      </c>
      <c r="AM33" t="n">
        <v>12</v>
      </c>
      <c r="AN33" t="n">
        <v>46</v>
      </c>
      <c r="AO33" t="n">
        <v>20</v>
      </c>
      <c r="AP33" t="n">
        <v>6</v>
      </c>
      <c r="AQ33" t="n">
        <v>6</v>
      </c>
      <c r="AR33" t="n">
        <v>11.88</v>
      </c>
      <c r="AY33" t="n">
        <v>44</v>
      </c>
      <c r="AZ33" t="n">
        <v>47</v>
      </c>
      <c r="BA33" t="n">
        <v>12.2</v>
      </c>
      <c r="BB33" t="n">
        <v>12.8</v>
      </c>
      <c r="BC33" t="n">
        <v>7.16</v>
      </c>
      <c r="BD33" t="n">
        <v>3.1</v>
      </c>
      <c r="BE33" t="n">
        <v>1.18</v>
      </c>
      <c r="BF33" t="n">
        <v>1.22</v>
      </c>
      <c r="BG33" t="n">
        <v>68</v>
      </c>
      <c r="BH33" t="n">
        <v>78.09999999999999</v>
      </c>
      <c r="BI33" t="n">
        <v>12.3</v>
      </c>
      <c r="BJ33" t="n">
        <v>11.9</v>
      </c>
      <c r="BK33" t="n">
        <v>281.7</v>
      </c>
      <c r="BL33" t="n">
        <v>115.7</v>
      </c>
      <c r="BM33" t="n">
        <v>13.6</v>
      </c>
      <c r="BN33" t="n">
        <v>18.7</v>
      </c>
      <c r="BO33" t="n">
        <v>5.1</v>
      </c>
      <c r="BP33" t="n">
        <v>6.8</v>
      </c>
      <c r="BQ33" t="n">
        <v>8.5</v>
      </c>
      <c r="BR33" t="n">
        <v>11.9</v>
      </c>
      <c r="BS33" t="n">
        <v>43.3</v>
      </c>
      <c r="BT33" t="n">
        <v>104</v>
      </c>
      <c r="BU33" t="n">
        <v>43.8</v>
      </c>
      <c r="BV33" t="n">
        <v>46.3</v>
      </c>
      <c r="BW33" t="n">
        <v>30</v>
      </c>
      <c r="BX33" t="n">
        <v>9.699999999999999</v>
      </c>
      <c r="BY33" t="inlineStr">
        <is>
          <t xml:space="preserve">глюкозурія  </t>
        </is>
      </c>
    </row>
    <row r="34">
      <c r="A34" t="n">
        <v>2</v>
      </c>
      <c r="B34" t="inlineStr">
        <is>
          <t>1545/172</t>
        </is>
      </c>
      <c r="C34" t="inlineStr">
        <is>
          <t>Вережак Олександр Васильович</t>
        </is>
      </c>
      <c r="D34" t="n">
        <v>65</v>
      </c>
      <c r="E34" t="inlineStr">
        <is>
          <t>ч</t>
        </is>
      </c>
      <c r="F34" t="inlineStr">
        <is>
          <t>0964502831, друж Марія 0956323373</t>
        </is>
      </c>
      <c r="G34" t="inlineStr">
        <is>
          <t>Негосп дв полісегм пнев 3 кл гр</t>
        </is>
      </c>
      <c r="H34" t="inlineStr">
        <is>
          <t>серед важ</t>
        </is>
      </c>
      <c r="I34" t="inlineStr">
        <is>
          <t>ІІ</t>
        </is>
      </c>
      <c r="K34" t="inlineStr">
        <is>
          <t>ІХС ДК ГХст2 ГЛШст2 Опасистість2ст</t>
        </is>
      </c>
      <c r="O34" t="n">
        <v>89</v>
      </c>
      <c r="P34" t="n">
        <v>95</v>
      </c>
      <c r="Q34" t="n">
        <v>99</v>
      </c>
      <c r="R34" t="n">
        <v>5</v>
      </c>
      <c r="S34" s="2" t="n">
        <v>44359</v>
      </c>
      <c r="T34" s="2" t="n">
        <v>44386</v>
      </c>
      <c r="U34" t="n">
        <v>27</v>
      </c>
      <c r="W34" t="inlineStr">
        <is>
          <t>5 днів до госп+3 дні в стац</t>
        </is>
      </c>
      <c r="X34" t="inlineStr">
        <is>
          <t>3 дні в стац</t>
        </is>
      </c>
      <c r="Z34" t="inlineStr">
        <is>
          <t>160/90</t>
        </is>
      </c>
      <c r="AA34" t="inlineStr">
        <is>
          <t>130/80</t>
        </is>
      </c>
      <c r="AB34" t="n">
        <v>23</v>
      </c>
      <c r="AC34" t="inlineStr">
        <is>
          <t>Ro ОГК-динаміка негативна</t>
        </is>
      </c>
      <c r="AD34" t="n">
        <v>158</v>
      </c>
      <c r="AE34" t="n">
        <v>150</v>
      </c>
      <c r="AF34" t="n">
        <v>5.9</v>
      </c>
      <c r="AG34" t="n">
        <v>4.2</v>
      </c>
      <c r="AH34" t="n">
        <v>15</v>
      </c>
      <c r="AI34" t="n">
        <v>16</v>
      </c>
      <c r="AJ34" t="n">
        <v>57</v>
      </c>
      <c r="AK34" t="n">
        <v>54</v>
      </c>
      <c r="AL34" t="n">
        <v>19</v>
      </c>
      <c r="AM34" t="n">
        <v>26</v>
      </c>
      <c r="AN34" t="n">
        <v>5</v>
      </c>
      <c r="AO34" t="n">
        <v>41</v>
      </c>
      <c r="AP34" t="n">
        <v>20</v>
      </c>
      <c r="AY34" t="n">
        <v>51</v>
      </c>
      <c r="AZ34" t="n">
        <v>40</v>
      </c>
      <c r="BB34" t="n">
        <v>18</v>
      </c>
      <c r="BC34" t="n">
        <v>4.2</v>
      </c>
      <c r="BD34" t="n">
        <v>7.77</v>
      </c>
      <c r="BG34" t="n">
        <v>70</v>
      </c>
      <c r="BH34" t="n">
        <v>54</v>
      </c>
      <c r="BI34" t="n">
        <v>8.300000000000001</v>
      </c>
      <c r="BJ34" t="n">
        <v>4.9</v>
      </c>
      <c r="BK34" t="n">
        <v>158</v>
      </c>
      <c r="BL34" t="n">
        <v>73</v>
      </c>
      <c r="BM34" t="n">
        <v>15.6</v>
      </c>
      <c r="BN34" t="n">
        <v>13.6</v>
      </c>
      <c r="BO34" t="n">
        <v>5.4</v>
      </c>
      <c r="BP34" t="n">
        <v>3.4</v>
      </c>
      <c r="BQ34" t="n">
        <v>10.2</v>
      </c>
      <c r="BR34" t="n">
        <v>10.2</v>
      </c>
      <c r="BS34" t="n">
        <v>1.4</v>
      </c>
      <c r="BT34" t="n">
        <v>1.4</v>
      </c>
      <c r="BU34" t="n">
        <v>1</v>
      </c>
      <c r="BV34" t="n">
        <v>1.2</v>
      </c>
      <c r="BW34" t="n">
        <v>4.3</v>
      </c>
      <c r="BX34" t="n">
        <v>3.9</v>
      </c>
    </row>
    <row r="35">
      <c r="A35" t="n">
        <v>2</v>
      </c>
      <c r="B35" t="inlineStr">
        <is>
          <t>144/570</t>
        </is>
      </c>
      <c r="C35" t="inlineStr">
        <is>
          <t>Фединяк Роман Петрович</t>
        </is>
      </c>
      <c r="D35" t="n">
        <v>57</v>
      </c>
      <c r="E35" t="inlineStr">
        <is>
          <t>ч</t>
        </is>
      </c>
      <c r="F35" t="inlineStr">
        <is>
          <t>0951331159, друж Марина 0992123636</t>
        </is>
      </c>
      <c r="G35" t="inlineStr">
        <is>
          <t>Негосп дв полісегм пнев 4 кл гр</t>
        </is>
      </c>
      <c r="H35" t="inlineStr">
        <is>
          <t>важкий</t>
        </is>
      </c>
      <c r="I35" t="inlineStr">
        <is>
          <t>ІІ-ІІІ</t>
        </is>
      </c>
      <c r="K35" t="inlineStr">
        <is>
          <t>ІХС ДК Стенок напруги ГХст2а ЦД Іітип</t>
        </is>
      </c>
      <c r="O35" t="n">
        <v>64</v>
      </c>
      <c r="P35" t="n">
        <v>80</v>
      </c>
      <c r="Q35" t="n">
        <v>93</v>
      </c>
      <c r="R35" t="n">
        <v>7</v>
      </c>
      <c r="S35" s="2" t="n">
        <v>44318</v>
      </c>
      <c r="T35" s="2" t="n">
        <v>44357</v>
      </c>
      <c r="U35" t="n">
        <v>39</v>
      </c>
      <c r="W35" t="inlineStr">
        <is>
          <t>4 дні до госп</t>
        </is>
      </c>
      <c r="X35" t="inlineStr">
        <is>
          <t>3 дні в стац</t>
        </is>
      </c>
      <c r="Z35" t="inlineStr">
        <is>
          <t>140/80</t>
        </is>
      </c>
      <c r="AA35" t="inlineStr">
        <is>
          <t>110/70</t>
        </is>
      </c>
      <c r="AB35" t="n">
        <v>35</v>
      </c>
      <c r="AC35" t="inlineStr">
        <is>
          <t>в нижніх долях легень консолідація біл справа</t>
        </is>
      </c>
      <c r="AD35" t="n">
        <v>152</v>
      </c>
      <c r="AE35" t="n">
        <v>146</v>
      </c>
      <c r="AF35" t="n">
        <v>5.8</v>
      </c>
      <c r="AG35" t="n">
        <v>16.8</v>
      </c>
      <c r="AH35" t="n">
        <v>30</v>
      </c>
      <c r="AI35" t="n">
        <v>15</v>
      </c>
      <c r="AJ35" t="n">
        <v>57</v>
      </c>
      <c r="AK35" t="n">
        <v>62</v>
      </c>
      <c r="AL35" t="n">
        <v>10</v>
      </c>
      <c r="AM35" t="n">
        <v>20</v>
      </c>
      <c r="AN35" t="n">
        <v>22</v>
      </c>
      <c r="AO35" t="n">
        <v>6</v>
      </c>
      <c r="AP35" t="n">
        <v>20</v>
      </c>
      <c r="AQ35" t="n">
        <v>45</v>
      </c>
      <c r="AX35" t="n">
        <v>0.61</v>
      </c>
      <c r="AY35" t="n">
        <v>40</v>
      </c>
      <c r="AZ35" t="n">
        <v>44</v>
      </c>
      <c r="BA35" t="n">
        <v>12.7</v>
      </c>
      <c r="BB35" t="n">
        <v>24</v>
      </c>
      <c r="BC35" t="n">
        <v>4.99</v>
      </c>
      <c r="BD35" t="n">
        <v>5.55</v>
      </c>
      <c r="BE35" t="n">
        <v>1.03</v>
      </c>
      <c r="BG35" t="n">
        <v>60</v>
      </c>
      <c r="BH35" t="n">
        <v>54</v>
      </c>
      <c r="BI35" t="n">
        <v>10.1</v>
      </c>
      <c r="BJ35" t="n">
        <v>6.4</v>
      </c>
      <c r="BK35" t="n">
        <v>149</v>
      </c>
      <c r="BL35" t="n">
        <v>77</v>
      </c>
      <c r="BM35" t="n">
        <v>60</v>
      </c>
      <c r="BN35" t="n">
        <v>15.3</v>
      </c>
      <c r="BO35" t="n">
        <v>8.5</v>
      </c>
      <c r="BP35" t="n">
        <v>5.1</v>
      </c>
      <c r="BQ35" t="n">
        <v>10.2</v>
      </c>
      <c r="BR35" t="n">
        <v>10.2</v>
      </c>
      <c r="BS35" t="n">
        <v>1.8</v>
      </c>
      <c r="BT35" t="n">
        <v>0.6</v>
      </c>
      <c r="BU35" t="n">
        <v>1.2</v>
      </c>
      <c r="BV35" t="n">
        <v>0.4</v>
      </c>
      <c r="BW35" t="n">
        <v>11.3</v>
      </c>
      <c r="BX35" t="n">
        <v>6.1</v>
      </c>
      <c r="BY35" t="inlineStr">
        <is>
          <t>перенесений інфарк, стентування, глюкозурія, протеїнурія</t>
        </is>
      </c>
    </row>
    <row r="36">
      <c r="A36" t="n">
        <v>2</v>
      </c>
      <c r="B36" t="inlineStr">
        <is>
          <t>2813/90</t>
        </is>
      </c>
      <c r="C36" t="inlineStr">
        <is>
          <t>Вережак Микола Григорович</t>
        </is>
      </c>
      <c r="D36" t="n">
        <v>67</v>
      </c>
      <c r="E36" t="inlineStr">
        <is>
          <t>ч</t>
        </is>
      </c>
      <c r="F36" t="inlineStr">
        <is>
          <t>0637212835, дружт 0956990854</t>
        </is>
      </c>
      <c r="G36" t="inlineStr">
        <is>
          <t>Негосп дв полісегм пнев 3 кл гр</t>
        </is>
      </c>
      <c r="H36" t="inlineStr">
        <is>
          <t>серед важ</t>
        </is>
      </c>
      <c r="I36" t="inlineStr">
        <is>
          <t>ІІ</t>
        </is>
      </c>
      <c r="K36" t="inlineStr">
        <is>
          <t>ІХС Стабільна стенок напруги, ГХст3, ГЛШст2</t>
        </is>
      </c>
      <c r="N36" t="inlineStr">
        <is>
          <t>КТ ознаки правоб верхчасткового інтерст захв легень</t>
        </is>
      </c>
      <c r="O36" t="n">
        <v>96</v>
      </c>
      <c r="Q36" t="n">
        <v>97</v>
      </c>
      <c r="R36" t="n">
        <v>10</v>
      </c>
      <c r="S36" s="2" t="n">
        <v>44335</v>
      </c>
      <c r="T36" s="2" t="n">
        <v>44352</v>
      </c>
      <c r="U36" t="n">
        <v>17</v>
      </c>
      <c r="X36" t="inlineStr">
        <is>
          <t>5 днів до госп</t>
        </is>
      </c>
      <c r="Y36" t="inlineStr">
        <is>
          <t>7 днів в стац</t>
        </is>
      </c>
      <c r="Z36" t="inlineStr">
        <is>
          <t>120/70</t>
        </is>
      </c>
      <c r="AA36" t="inlineStr">
        <is>
          <t>130/80</t>
        </is>
      </c>
      <c r="AC36" t="inlineStr">
        <is>
          <t>Ro ОГК-динаміка позитивна</t>
        </is>
      </c>
      <c r="AD36" t="n">
        <v>134</v>
      </c>
      <c r="AE36" t="n">
        <v>102</v>
      </c>
      <c r="AF36" t="n">
        <v>3.5</v>
      </c>
      <c r="AG36" t="n">
        <v>9.6</v>
      </c>
      <c r="AH36" t="n">
        <v>21</v>
      </c>
      <c r="AI36" t="n">
        <v>16</v>
      </c>
      <c r="AJ36" t="n">
        <v>44</v>
      </c>
      <c r="AK36" t="n">
        <v>60</v>
      </c>
      <c r="AL36" t="n">
        <v>23</v>
      </c>
      <c r="AM36" t="n">
        <v>22</v>
      </c>
      <c r="AN36" t="n">
        <v>23</v>
      </c>
      <c r="AO36" t="n">
        <v>9</v>
      </c>
      <c r="AP36" t="n">
        <v>38</v>
      </c>
      <c r="AQ36" t="n">
        <v>35</v>
      </c>
      <c r="AY36" t="n">
        <v>37</v>
      </c>
      <c r="AZ36" t="n">
        <v>37</v>
      </c>
      <c r="BC36" t="n">
        <v>3.99</v>
      </c>
      <c r="BD36" t="n">
        <v>4.66</v>
      </c>
      <c r="BG36" t="n">
        <v>70</v>
      </c>
      <c r="BH36" t="n">
        <v>62</v>
      </c>
      <c r="BI36" t="n">
        <v>8.9</v>
      </c>
      <c r="BJ36" t="n">
        <v>7.1</v>
      </c>
      <c r="BK36" t="n">
        <v>163</v>
      </c>
      <c r="BL36" t="n">
        <v>125</v>
      </c>
      <c r="BM36" t="n">
        <v>13.6</v>
      </c>
      <c r="BN36" t="n">
        <v>13.6</v>
      </c>
      <c r="BO36" t="n">
        <v>3.4</v>
      </c>
      <c r="BP36" t="n">
        <v>3.4</v>
      </c>
      <c r="BQ36" t="n">
        <v>10.1</v>
      </c>
      <c r="BR36" t="n">
        <v>10.2</v>
      </c>
      <c r="BS36" t="n">
        <v>0.8</v>
      </c>
      <c r="BT36" t="n">
        <v>1.8</v>
      </c>
      <c r="BU36" t="n">
        <v>0.4</v>
      </c>
      <c r="BV36" t="n">
        <v>1.6</v>
      </c>
      <c r="BW36" t="n">
        <v>7.3</v>
      </c>
      <c r="BX36" t="n">
        <v>4.8</v>
      </c>
    </row>
    <row r="37">
      <c r="A37" t="n">
        <v>2</v>
      </c>
      <c r="B37" t="inlineStr">
        <is>
          <t>1324/147</t>
        </is>
      </c>
      <c r="C37" t="inlineStr">
        <is>
          <t>Височана Тетяна Дмитрівна</t>
        </is>
      </c>
      <c r="D37" t="n">
        <v>65</v>
      </c>
      <c r="E37" t="inlineStr">
        <is>
          <t>ж</t>
        </is>
      </c>
      <c r="F37" t="inlineStr">
        <is>
          <t>0960187916. чол Володимир 0999797802</t>
        </is>
      </c>
      <c r="G37" t="inlineStr">
        <is>
          <t>Негосп дв полісегм пнев 3 кл гр</t>
        </is>
      </c>
      <c r="H37" t="inlineStr">
        <is>
          <t>серед важ</t>
        </is>
      </c>
      <c r="I37" t="inlineStr">
        <is>
          <t>ІІ</t>
        </is>
      </c>
      <c r="K37" t="inlineStr">
        <is>
          <t>ІХС.ДК СНмт2а Анемія важк ст нез'яс генезу.Хрон холицистит</t>
        </is>
      </c>
      <c r="O37" t="n">
        <v>89</v>
      </c>
      <c r="P37" t="n">
        <v>96</v>
      </c>
      <c r="Q37" t="n">
        <v>93</v>
      </c>
      <c r="R37" t="n">
        <v>7</v>
      </c>
      <c r="S37" s="2" t="n">
        <v>44448</v>
      </c>
      <c r="T37" s="2" t="n">
        <v>44464</v>
      </c>
      <c r="U37" t="n">
        <v>16</v>
      </c>
      <c r="X37" t="inlineStr">
        <is>
          <t>7 днів до госп</t>
        </is>
      </c>
      <c r="Y37" t="inlineStr">
        <is>
          <t>1 день в стац</t>
        </is>
      </c>
      <c r="Z37" t="inlineStr">
        <is>
          <t>110/70</t>
        </is>
      </c>
      <c r="AA37" t="inlineStr">
        <is>
          <t>120/80</t>
        </is>
      </c>
      <c r="AC37" t="inlineStr">
        <is>
          <t>вираж інтерст зміни більше справа, зліва кортикальна консолідація.</t>
        </is>
      </c>
      <c r="AD37" t="n">
        <v>59</v>
      </c>
      <c r="AE37" t="n">
        <v>68</v>
      </c>
      <c r="AF37" t="n">
        <v>5.8</v>
      </c>
      <c r="AG37" t="n">
        <v>5.5</v>
      </c>
      <c r="AH37" t="n">
        <v>26</v>
      </c>
      <c r="AI37" t="n">
        <v>3</v>
      </c>
      <c r="AJ37" t="n">
        <v>66</v>
      </c>
      <c r="AK37" t="n">
        <v>89</v>
      </c>
      <c r="AL37" t="n">
        <v>7</v>
      </c>
      <c r="AM37" t="n">
        <v>6</v>
      </c>
      <c r="AN37" t="n">
        <v>72</v>
      </c>
      <c r="AO37" t="n">
        <v>50</v>
      </c>
      <c r="AT37" t="n">
        <v>271.1</v>
      </c>
      <c r="AY37" t="n">
        <v>30</v>
      </c>
      <c r="AZ37" t="n">
        <v>36</v>
      </c>
      <c r="BA37" t="n">
        <v>21</v>
      </c>
      <c r="BB37" t="n">
        <v>20</v>
      </c>
      <c r="BC37" t="n">
        <v>6.88</v>
      </c>
      <c r="BD37" t="n">
        <v>4.44</v>
      </c>
      <c r="BG37" t="n">
        <v>68</v>
      </c>
      <c r="BH37" t="n">
        <v>64</v>
      </c>
      <c r="BI37" t="n">
        <v>3.1</v>
      </c>
      <c r="BK37" t="n">
        <v>58</v>
      </c>
      <c r="BL37" t="n">
        <v>68</v>
      </c>
      <c r="BM37" t="n">
        <v>15.3</v>
      </c>
      <c r="BN37" t="n">
        <v>11.9</v>
      </c>
      <c r="BO37" t="n">
        <v>5.1</v>
      </c>
      <c r="BP37" t="n">
        <v>3.4</v>
      </c>
      <c r="BQ37" t="n">
        <v>10.2</v>
      </c>
      <c r="BR37" t="n">
        <v>8.5</v>
      </c>
      <c r="BS37" t="n">
        <v>1</v>
      </c>
      <c r="BT37" t="n">
        <v>18</v>
      </c>
      <c r="BU37" t="n">
        <v>0.1</v>
      </c>
      <c r="BV37" t="n">
        <v>14</v>
      </c>
      <c r="BW37" t="n">
        <v>5.7</v>
      </c>
      <c r="BX37" t="n">
        <v>5.5</v>
      </c>
      <c r="BY37" t="inlineStr">
        <is>
          <t>анемія не визначеного генезу</t>
        </is>
      </c>
    </row>
    <row r="38">
      <c r="A38" t="n">
        <v>2</v>
      </c>
      <c r="B38" t="inlineStr">
        <is>
          <t>2848/258</t>
        </is>
      </c>
      <c r="C38" t="inlineStr">
        <is>
          <t>Гнатюка Катерина Іванівна</t>
        </is>
      </c>
      <c r="D38" t="n">
        <v>63</v>
      </c>
      <c r="E38" t="inlineStr">
        <is>
          <t>ж</t>
        </is>
      </c>
      <c r="F38" t="inlineStr">
        <is>
          <t>дочка Тетяна 0961524735</t>
        </is>
      </c>
      <c r="G38" t="inlineStr">
        <is>
          <t>Негосп дв полісегм пнев 3 кл гр</t>
        </is>
      </c>
      <c r="H38" t="inlineStr">
        <is>
          <t>серед важ</t>
        </is>
      </c>
      <c r="I38" t="inlineStr">
        <is>
          <t>ІІ</t>
        </is>
      </c>
      <c r="K38" t="inlineStr">
        <is>
          <t xml:space="preserve">ІХС Стабільна стенок напруги, </t>
        </is>
      </c>
      <c r="L38" s="4" t="n">
        <v>0.4</v>
      </c>
      <c r="O38" t="n">
        <v>97</v>
      </c>
      <c r="Q38" t="n">
        <v>97</v>
      </c>
      <c r="R38" t="n">
        <v>10</v>
      </c>
      <c r="S38" s="2" t="n">
        <v>44455</v>
      </c>
      <c r="T38" s="2" t="n">
        <v>44467</v>
      </c>
      <c r="U38" t="n">
        <v>12</v>
      </c>
      <c r="X38" t="inlineStr">
        <is>
          <t>7 днів до госп</t>
        </is>
      </c>
      <c r="Y38" t="inlineStr">
        <is>
          <t>2 дні в стац</t>
        </is>
      </c>
      <c r="Z38" t="inlineStr">
        <is>
          <t>140/90</t>
        </is>
      </c>
      <c r="AA38" t="inlineStr">
        <is>
          <t>140/90</t>
        </is>
      </c>
      <c r="AC38" t="inlineStr">
        <is>
          <t>Ro ОГК стадія фіброзування</t>
        </is>
      </c>
      <c r="AD38" t="n">
        <v>128</v>
      </c>
      <c r="AE38" t="n">
        <v>142</v>
      </c>
      <c r="AF38" t="n">
        <v>11.1</v>
      </c>
      <c r="AG38" t="n">
        <v>10.8</v>
      </c>
      <c r="AH38" t="n">
        <v>15</v>
      </c>
      <c r="AI38" t="n">
        <v>9</v>
      </c>
      <c r="AJ38" t="n">
        <v>82</v>
      </c>
      <c r="AK38" t="n">
        <v>84</v>
      </c>
      <c r="AL38" t="n">
        <v>2</v>
      </c>
      <c r="AM38" t="n">
        <v>6</v>
      </c>
      <c r="AN38" t="n">
        <v>35</v>
      </c>
      <c r="AO38" t="n">
        <v>5</v>
      </c>
      <c r="AY38" t="n">
        <v>46</v>
      </c>
      <c r="AZ38" t="n">
        <v>41</v>
      </c>
      <c r="BA38" t="n">
        <v>17</v>
      </c>
      <c r="BB38" t="n">
        <v>17</v>
      </c>
      <c r="BC38" t="n">
        <v>5.55</v>
      </c>
      <c r="BD38" t="n">
        <v>2.22</v>
      </c>
      <c r="BG38" t="n">
        <v>64</v>
      </c>
      <c r="BH38" t="n">
        <v>60</v>
      </c>
      <c r="BJ38" t="n">
        <v>15</v>
      </c>
      <c r="BL38" t="n">
        <v>111</v>
      </c>
      <c r="BM38" t="n">
        <v>15.3</v>
      </c>
      <c r="BN38" t="n">
        <v>13.6</v>
      </c>
      <c r="BO38" t="n">
        <v>5.1</v>
      </c>
      <c r="BP38" t="n">
        <v>3.4</v>
      </c>
      <c r="BQ38" t="n">
        <v>10.2</v>
      </c>
      <c r="BR38" t="n">
        <v>1.02</v>
      </c>
      <c r="BS38" t="n">
        <v>0.6</v>
      </c>
      <c r="BT38" t="n">
        <v>1.2</v>
      </c>
      <c r="BU38" t="n">
        <v>0.4</v>
      </c>
      <c r="BV38" t="n">
        <v>1</v>
      </c>
      <c r="BW38" t="n">
        <v>7.5</v>
      </c>
      <c r="BX38" t="n">
        <v>9.199999999999999</v>
      </c>
      <c r="BY38" t="inlineStr">
        <is>
          <t>стентування, гіпертонічні кризи</t>
        </is>
      </c>
    </row>
    <row r="39">
      <c r="A39" t="n">
        <v>2</v>
      </c>
      <c r="B39" t="n">
        <v>3233</v>
      </c>
      <c r="C39" t="inlineStr">
        <is>
          <t>Мельничук Ігор Олегович</t>
        </is>
      </c>
      <c r="D39" t="n">
        <v>47</v>
      </c>
      <c r="E39" t="inlineStr">
        <is>
          <t>ч</t>
        </is>
      </c>
      <c r="F39" t="inlineStr">
        <is>
          <t>0953197967, друж 0960736087</t>
        </is>
      </c>
      <c r="G39" t="inlineStr">
        <is>
          <t>Негосп дв полісегм пнев 4 кл гр</t>
        </is>
      </c>
      <c r="H39" t="inlineStr">
        <is>
          <t>важкий</t>
        </is>
      </c>
      <c r="I39" t="inlineStr">
        <is>
          <t>ІІ</t>
        </is>
      </c>
      <c r="K39" t="inlineStr">
        <is>
          <t>ГХст2ГЛШст2 Медикаментозна алергія</t>
        </is>
      </c>
      <c r="L39" s="4" t="n">
        <v>0.3</v>
      </c>
      <c r="M39" t="inlineStr">
        <is>
          <t>серед ступ</t>
        </is>
      </c>
      <c r="N39" t="inlineStr">
        <is>
          <t>КТ2, Со-Rads 6</t>
        </is>
      </c>
      <c r="O39" t="n">
        <v>88</v>
      </c>
      <c r="P39" t="n">
        <v>98</v>
      </c>
      <c r="Q39" t="n">
        <v>96</v>
      </c>
      <c r="R39" t="n">
        <v>14</v>
      </c>
      <c r="S39" s="2" t="n">
        <v>44624</v>
      </c>
      <c r="T39" s="2" t="n">
        <v>44659</v>
      </c>
      <c r="U39" t="n">
        <v>35</v>
      </c>
      <c r="W39" t="inlineStr">
        <is>
          <t>10 днів до госп</t>
        </is>
      </c>
      <c r="X39" t="inlineStr">
        <is>
          <t>2 дні в стац</t>
        </is>
      </c>
      <c r="Z39" t="inlineStr">
        <is>
          <t>130/80</t>
        </is>
      </c>
      <c r="AA39" t="inlineStr">
        <is>
          <t>130/70</t>
        </is>
      </c>
      <c r="AB39" t="n">
        <v>28</v>
      </c>
      <c r="AC39" t="inlineStr">
        <is>
          <t>помірні залишкові зміни в латерних сегментатах (фіброзі)</t>
        </is>
      </c>
      <c r="AD39" t="n">
        <v>157</v>
      </c>
      <c r="AE39" t="n">
        <v>141</v>
      </c>
      <c r="AF39" t="n">
        <v>6.9</v>
      </c>
      <c r="AG39" t="n">
        <v>8.6</v>
      </c>
      <c r="AH39" t="n">
        <v>8</v>
      </c>
      <c r="AI39" t="n">
        <v>7</v>
      </c>
      <c r="AJ39" t="n">
        <v>72</v>
      </c>
      <c r="AK39" t="n">
        <v>28</v>
      </c>
      <c r="AL39" t="n">
        <v>14</v>
      </c>
      <c r="AM39" t="n">
        <v>42</v>
      </c>
      <c r="AN39" t="n">
        <v>12</v>
      </c>
      <c r="AO39" t="n">
        <v>15</v>
      </c>
      <c r="AP39" t="n">
        <v>12</v>
      </c>
      <c r="AQ39" t="n">
        <v>6</v>
      </c>
      <c r="AR39" t="n">
        <v>17.1</v>
      </c>
      <c r="AU39" s="12" t="inlineStr">
        <is>
          <t xml:space="preserve">4442; 1084 </t>
        </is>
      </c>
      <c r="AV39" s="12" t="inlineStr">
        <is>
          <t>987; 554</t>
        </is>
      </c>
      <c r="AX39" t="n">
        <v>0.065</v>
      </c>
      <c r="AY39" t="n">
        <v>56</v>
      </c>
      <c r="AZ39" t="n">
        <v>40</v>
      </c>
      <c r="BA39" t="n">
        <v>10.9</v>
      </c>
      <c r="BB39" t="n">
        <v>13.1</v>
      </c>
      <c r="BC39" t="n">
        <v>4.55</v>
      </c>
      <c r="BD39" t="n">
        <v>2.55</v>
      </c>
      <c r="BE39" t="n">
        <v>1.06</v>
      </c>
      <c r="BF39" t="n">
        <v>1.26</v>
      </c>
      <c r="BG39" t="n">
        <v>73</v>
      </c>
      <c r="BH39" t="n">
        <v>69</v>
      </c>
      <c r="BI39" t="n">
        <v>7.1</v>
      </c>
      <c r="BJ39" t="n">
        <v>8.4</v>
      </c>
      <c r="BK39" t="n">
        <v>109</v>
      </c>
      <c r="BL39" t="n">
        <v>112</v>
      </c>
      <c r="BM39" t="n">
        <v>18.7</v>
      </c>
      <c r="BN39" t="n">
        <v>18.7</v>
      </c>
      <c r="BO39" t="n">
        <v>6.8</v>
      </c>
      <c r="BP39" t="n">
        <v>6.8</v>
      </c>
      <c r="BQ39" t="n">
        <v>11.9</v>
      </c>
      <c r="BR39" t="n">
        <v>11.9</v>
      </c>
      <c r="BS39" t="n">
        <v>60.3</v>
      </c>
      <c r="BT39" t="n">
        <v>97.7</v>
      </c>
      <c r="BU39" t="n">
        <v>48.2</v>
      </c>
      <c r="BV39" t="n">
        <v>42.2</v>
      </c>
      <c r="BW39" t="n">
        <v>4.8</v>
      </c>
      <c r="BX39" t="n">
        <v>4.3</v>
      </c>
    </row>
    <row r="40">
      <c r="A40" t="n">
        <v>2</v>
      </c>
      <c r="B40" t="inlineStr">
        <is>
          <t>1662/15</t>
        </is>
      </c>
      <c r="C40" t="inlineStr">
        <is>
          <t>Ткачук Ігор Сергійович</t>
        </is>
      </c>
      <c r="D40" t="n">
        <v>55</v>
      </c>
      <c r="E40" t="inlineStr">
        <is>
          <t>ч</t>
        </is>
      </c>
      <c r="F40" t="inlineStr">
        <is>
          <t>0962819539, друж Людмила 0508276116</t>
        </is>
      </c>
      <c r="G40" t="inlineStr">
        <is>
          <t>Негосп дв полісегм пнев 4 кл гр</t>
        </is>
      </c>
      <c r="H40" t="inlineStr">
        <is>
          <t>важкий</t>
        </is>
      </c>
      <c r="I40" t="inlineStr">
        <is>
          <t>ІІ</t>
        </is>
      </c>
      <c r="O40" t="n">
        <v>86</v>
      </c>
      <c r="P40" t="n">
        <v>96</v>
      </c>
      <c r="Q40" t="n">
        <v>95</v>
      </c>
      <c r="R40" t="n">
        <v>7</v>
      </c>
      <c r="S40" s="2" t="n">
        <v>44649</v>
      </c>
      <c r="T40" s="2" t="n">
        <v>44670</v>
      </c>
      <c r="U40" t="n">
        <v>21</v>
      </c>
      <c r="W40" t="inlineStr">
        <is>
          <t>4 дні до госп</t>
        </is>
      </c>
      <c r="X40" t="inlineStr">
        <is>
          <t>2 дні в стац</t>
        </is>
      </c>
      <c r="Z40" t="inlineStr">
        <is>
          <t>120/80</t>
        </is>
      </c>
      <c r="AA40" t="inlineStr">
        <is>
          <t>130/80</t>
        </is>
      </c>
      <c r="AB40" t="n">
        <v>16</v>
      </c>
      <c r="AC40" t="inlineStr">
        <is>
          <t>помірні інтерст зміни більше зліва та в передніх зонах</t>
        </is>
      </c>
      <c r="AD40" t="n">
        <v>152</v>
      </c>
      <c r="AE40" t="n">
        <v>140</v>
      </c>
      <c r="AF40" t="n">
        <v>5.8</v>
      </c>
      <c r="AG40" t="n">
        <v>16.8</v>
      </c>
      <c r="AH40" t="n">
        <v>7</v>
      </c>
      <c r="AI40" t="n">
        <v>9</v>
      </c>
      <c r="AJ40" t="n">
        <v>78</v>
      </c>
      <c r="AK40" t="n">
        <v>66</v>
      </c>
      <c r="AL40" t="n">
        <v>9</v>
      </c>
      <c r="AM40" t="n">
        <v>11</v>
      </c>
      <c r="AN40" t="n">
        <v>8</v>
      </c>
      <c r="AO40" t="n">
        <v>4</v>
      </c>
      <c r="AP40" t="n">
        <v>18</v>
      </c>
      <c r="AY40" t="n">
        <v>45</v>
      </c>
      <c r="AZ40" t="n">
        <v>51</v>
      </c>
      <c r="BA40" t="n">
        <v>9.699999999999999</v>
      </c>
      <c r="BB40" t="n">
        <v>15.5</v>
      </c>
      <c r="BC40" t="n">
        <v>5.43</v>
      </c>
      <c r="BD40" t="n">
        <v>3.65</v>
      </c>
      <c r="BE40" t="n">
        <v>0.96</v>
      </c>
      <c r="BF40" t="n">
        <v>1.46</v>
      </c>
      <c r="BG40" t="n">
        <v>80</v>
      </c>
      <c r="BH40" t="n">
        <v>65</v>
      </c>
      <c r="BI40" t="n">
        <v>5.5</v>
      </c>
      <c r="BJ40" t="n">
        <v>7.6</v>
      </c>
      <c r="BK40" t="n">
        <v>82</v>
      </c>
      <c r="BL40" t="n">
        <v>103</v>
      </c>
      <c r="BM40" t="n">
        <v>17</v>
      </c>
      <c r="BN40" t="n">
        <v>11.9</v>
      </c>
      <c r="BO40" t="n">
        <v>5.1</v>
      </c>
      <c r="BP40" t="n">
        <v>3.4</v>
      </c>
      <c r="BQ40" t="n">
        <v>11.9</v>
      </c>
      <c r="BR40" t="n">
        <v>8.5</v>
      </c>
      <c r="BS40" t="n">
        <v>97.7</v>
      </c>
      <c r="BT40" t="n">
        <v>150.7</v>
      </c>
      <c r="BU40" t="n">
        <v>60.4</v>
      </c>
      <c r="BV40" t="n">
        <v>78.40000000000001</v>
      </c>
      <c r="BW40" t="n">
        <v>3.8</v>
      </c>
      <c r="BX40" t="n">
        <v>4.8</v>
      </c>
    </row>
    <row r="41">
      <c r="A41" t="n">
        <v>2</v>
      </c>
      <c r="B41" t="n">
        <v>393</v>
      </c>
      <c r="C41" t="inlineStr">
        <is>
          <t>Урсуляк Іван Андрійович</t>
        </is>
      </c>
      <c r="D41" t="n">
        <v>63</v>
      </c>
      <c r="E41" t="inlineStr">
        <is>
          <t>ч</t>
        </is>
      </c>
      <c r="F41" t="inlineStr">
        <is>
          <t>0503817805, друж Вікторія 0997803704</t>
        </is>
      </c>
      <c r="G41" t="inlineStr">
        <is>
          <t>Негосп дв полісегм пнев 4 кл гр</t>
        </is>
      </c>
      <c r="H41" t="inlineStr">
        <is>
          <t>важкий</t>
        </is>
      </c>
      <c r="I41" t="inlineStr">
        <is>
          <t>ІІ</t>
        </is>
      </c>
      <c r="K41" t="inlineStr">
        <is>
          <t xml:space="preserve">ІХС ДК ГХст2 СН1 </t>
        </is>
      </c>
      <c r="L41" s="4" t="n">
        <v>0.3</v>
      </c>
      <c r="M41" t="inlineStr">
        <is>
          <t>серед ступ</t>
        </is>
      </c>
      <c r="O41" t="n">
        <v>82</v>
      </c>
      <c r="P41" t="n">
        <v>98</v>
      </c>
      <c r="Q41" t="n">
        <v>95</v>
      </c>
      <c r="R41" t="n">
        <v>14</v>
      </c>
      <c r="S41" s="2" t="n">
        <v>44628</v>
      </c>
      <c r="T41" s="2" t="n">
        <v>44653</v>
      </c>
      <c r="U41" t="n">
        <v>25</v>
      </c>
      <c r="W41" t="inlineStr">
        <is>
          <t>7 днів до госп</t>
        </is>
      </c>
      <c r="X41" t="inlineStr">
        <is>
          <t>5 дні в стац</t>
        </is>
      </c>
      <c r="Y41" t="inlineStr">
        <is>
          <t>2 дні в стац</t>
        </is>
      </c>
      <c r="Z41" t="inlineStr">
        <is>
          <t>110/70</t>
        </is>
      </c>
      <c r="AA41" t="inlineStr">
        <is>
          <t>120/70</t>
        </is>
      </c>
      <c r="AB41" t="n">
        <v>20</v>
      </c>
      <c r="AC41" t="inlineStr">
        <is>
          <t>кортикальні зміни в базальних сегм, інтерст зміни лівих перед та бічних зонах</t>
        </is>
      </c>
      <c r="AD41" t="n">
        <v>132</v>
      </c>
      <c r="AE41" t="n">
        <v>130</v>
      </c>
      <c r="AF41" t="n">
        <v>7.9</v>
      </c>
      <c r="AG41" t="n">
        <v>9.6</v>
      </c>
      <c r="AH41" t="n">
        <v>4</v>
      </c>
      <c r="AI41" t="n">
        <v>4</v>
      </c>
      <c r="AJ41" t="n">
        <v>82</v>
      </c>
      <c r="AK41" t="n">
        <v>81</v>
      </c>
      <c r="AL41" t="n">
        <v>11</v>
      </c>
      <c r="AM41" t="n">
        <v>13</v>
      </c>
      <c r="AN41" t="n">
        <v>60</v>
      </c>
      <c r="AO41" t="n">
        <v>3</v>
      </c>
      <c r="AP41" t="n">
        <v>6</v>
      </c>
      <c r="AQ41" t="n">
        <v>6</v>
      </c>
      <c r="AU41" s="12" t="inlineStr">
        <is>
          <t>480;</t>
        </is>
      </c>
      <c r="AV41" t="n">
        <v>986.9299999999999</v>
      </c>
      <c r="AY41" t="n">
        <v>40</v>
      </c>
      <c r="AZ41" t="n">
        <v>39</v>
      </c>
      <c r="BA41" t="n">
        <v>16.2</v>
      </c>
      <c r="BB41" t="n">
        <v>12.3</v>
      </c>
      <c r="BC41" t="n">
        <v>5.73</v>
      </c>
      <c r="BD41" t="n">
        <v>2.36</v>
      </c>
      <c r="BE41" t="n">
        <v>1.57</v>
      </c>
      <c r="BF41" t="n">
        <v>1.18</v>
      </c>
      <c r="BG41" t="n">
        <v>60</v>
      </c>
      <c r="BH41" t="n">
        <v>58</v>
      </c>
      <c r="BI41" t="n">
        <v>7.7</v>
      </c>
      <c r="BJ41" t="n">
        <v>7</v>
      </c>
      <c r="BK41" t="n">
        <v>104</v>
      </c>
      <c r="BL41" t="n">
        <v>97</v>
      </c>
      <c r="BM41" t="n">
        <v>15.3</v>
      </c>
      <c r="BN41" t="n">
        <v>15.3</v>
      </c>
      <c r="BO41" t="n">
        <v>5.1</v>
      </c>
      <c r="BP41" t="n">
        <v>5.1</v>
      </c>
      <c r="BQ41" t="n">
        <v>10.2</v>
      </c>
      <c r="BR41" t="n">
        <v>10.2</v>
      </c>
      <c r="BS41" t="n">
        <v>67.5</v>
      </c>
      <c r="BT41" t="n">
        <v>75.40000000000001</v>
      </c>
      <c r="BU41" t="n">
        <v>42.2</v>
      </c>
      <c r="BV41" t="n">
        <v>36.2</v>
      </c>
      <c r="BW41" t="n">
        <v>4.3</v>
      </c>
      <c r="BX41" t="n">
        <v>3.8</v>
      </c>
      <c r="BY41" t="inlineStr">
        <is>
          <t>Психоорганічний розлад з депресивними проявами, безсоння</t>
        </is>
      </c>
    </row>
    <row r="42">
      <c r="A42" t="n">
        <v>2</v>
      </c>
      <c r="B42" t="n">
        <v>3379</v>
      </c>
      <c r="C42" t="inlineStr">
        <is>
          <t>Жмуркоа Ірина Григорівна</t>
        </is>
      </c>
      <c r="D42" t="n">
        <v>80</v>
      </c>
      <c r="E42" t="inlineStr">
        <is>
          <t>ж</t>
        </is>
      </c>
      <c r="F42" t="inlineStr">
        <is>
          <t>дочка Уляна 0998288983</t>
        </is>
      </c>
      <c r="G42" t="inlineStr">
        <is>
          <t>Негосп дв полісегм пнев 4 кл група</t>
        </is>
      </c>
      <c r="H42" t="inlineStr">
        <is>
          <t>важкий</t>
        </is>
      </c>
      <c r="I42" t="inlineStr">
        <is>
          <t>ІІ</t>
        </is>
      </c>
      <c r="K42" t="inlineStr">
        <is>
          <t>ЦД тип ІІ, ІХС ДК ГХ2 ГЛШст2 СН2а</t>
        </is>
      </c>
      <c r="O42" t="n">
        <v>86</v>
      </c>
      <c r="P42" t="n">
        <v>97</v>
      </c>
      <c r="Q42" t="n">
        <v>96</v>
      </c>
      <c r="R42" t="n">
        <v>7</v>
      </c>
      <c r="S42" s="2" t="n">
        <v>44660</v>
      </c>
      <c r="T42" s="2" t="n">
        <v>44678</v>
      </c>
      <c r="U42" t="n">
        <v>14</v>
      </c>
      <c r="W42" t="inlineStr">
        <is>
          <t>5 днів до госп</t>
        </is>
      </c>
      <c r="X42" t="inlineStr">
        <is>
          <t>3 дні в стац</t>
        </is>
      </c>
      <c r="Y42" t="inlineStr">
        <is>
          <t>10 днів в стац</t>
        </is>
      </c>
      <c r="Z42" t="inlineStr">
        <is>
          <t>130/80</t>
        </is>
      </c>
      <c r="AA42" t="inlineStr">
        <is>
          <t>120/80</t>
        </is>
      </c>
      <c r="AB42" t="n">
        <v>10</v>
      </c>
      <c r="AC42" t="inlineStr">
        <is>
          <t>помірні фіброзні зміни, лінія плеври ущільнена,потовщена, неоднорідна</t>
        </is>
      </c>
      <c r="AD42" t="n">
        <v>131</v>
      </c>
      <c r="AE42" t="n">
        <v>122</v>
      </c>
      <c r="AF42" t="n">
        <v>7.2</v>
      </c>
      <c r="AG42" t="n">
        <v>8.9</v>
      </c>
      <c r="AH42" t="n">
        <v>10</v>
      </c>
      <c r="AI42" t="n">
        <v>5</v>
      </c>
      <c r="AJ42" t="n">
        <v>71</v>
      </c>
      <c r="AK42" t="n">
        <v>61</v>
      </c>
      <c r="AL42" t="n">
        <v>12</v>
      </c>
      <c r="AM42" t="n">
        <v>26</v>
      </c>
      <c r="AN42" t="n">
        <v>31</v>
      </c>
      <c r="AO42" t="n">
        <v>14</v>
      </c>
      <c r="AQ42" t="n">
        <v>12</v>
      </c>
      <c r="AY42" t="n">
        <v>39.4</v>
      </c>
      <c r="AZ42" t="n">
        <v>37</v>
      </c>
      <c r="BA42" t="n">
        <v>12.9</v>
      </c>
      <c r="BB42" t="n">
        <v>12.6</v>
      </c>
      <c r="BC42" t="n">
        <v>4.99</v>
      </c>
      <c r="BD42" t="n">
        <v>3.12</v>
      </c>
      <c r="BE42" t="n">
        <v>1.24</v>
      </c>
      <c r="BF42" t="n">
        <v>1.21</v>
      </c>
      <c r="BG42" t="n">
        <v>77</v>
      </c>
      <c r="BH42" t="n">
        <v>60</v>
      </c>
      <c r="BI42" t="n">
        <v>4.9</v>
      </c>
      <c r="BJ42" t="n">
        <v>4.2</v>
      </c>
      <c r="BK42" t="n">
        <v>76</v>
      </c>
      <c r="BL42" t="n">
        <v>72</v>
      </c>
      <c r="BM42" t="n">
        <v>11.9</v>
      </c>
      <c r="BN42" t="n">
        <v>13.6</v>
      </c>
      <c r="BO42" t="n">
        <v>3.4</v>
      </c>
      <c r="BP42" t="n">
        <v>3.4</v>
      </c>
      <c r="BQ42" t="n">
        <v>8.5</v>
      </c>
      <c r="BR42" t="n">
        <v>10.2</v>
      </c>
      <c r="BS42" t="n">
        <v>30.2</v>
      </c>
      <c r="BT42" t="n">
        <v>142.9</v>
      </c>
      <c r="BU42" t="n">
        <v>24.1</v>
      </c>
      <c r="BV42" t="n">
        <v>66.2</v>
      </c>
      <c r="BW42" t="n">
        <v>7.6</v>
      </c>
      <c r="BX42" t="n">
        <v>12</v>
      </c>
    </row>
    <row r="43">
      <c r="A43" t="n">
        <v>2</v>
      </c>
      <c r="B43" t="n">
        <v>2310</v>
      </c>
      <c r="C43" t="inlineStr">
        <is>
          <t>Фединяка Ольга Володимирівна</t>
        </is>
      </c>
      <c r="D43" t="n">
        <v>70</v>
      </c>
      <c r="E43" t="inlineStr">
        <is>
          <t>ж</t>
        </is>
      </c>
      <c r="F43" t="inlineStr">
        <is>
          <t>дочка Людмила 0958179223</t>
        </is>
      </c>
      <c r="G43" t="inlineStr">
        <is>
          <t>Негосп дв полісегм пнев 4 кл група</t>
        </is>
      </c>
      <c r="H43" t="inlineStr">
        <is>
          <t>важкий</t>
        </is>
      </c>
      <c r="I43" t="inlineStr">
        <is>
          <t>ІІ</t>
        </is>
      </c>
      <c r="K43" t="inlineStr">
        <is>
          <t>ЦД тип ІІ вперше вияв ІХС ДК ГХ2 ГЛШст2 СН2а</t>
        </is>
      </c>
      <c r="O43" t="n">
        <v>84</v>
      </c>
      <c r="P43" t="n">
        <v>97</v>
      </c>
      <c r="Q43" t="n">
        <v>94</v>
      </c>
      <c r="R43" t="n">
        <v>10</v>
      </c>
      <c r="S43" s="2" t="n">
        <v>44642</v>
      </c>
      <c r="T43" s="2" t="n">
        <v>44673</v>
      </c>
      <c r="U43" t="n">
        <v>31</v>
      </c>
      <c r="W43" t="inlineStr">
        <is>
          <t>5 днів до госп</t>
        </is>
      </c>
      <c r="Y43" t="inlineStr">
        <is>
          <t>4 дні в стац</t>
        </is>
      </c>
      <c r="Z43" t="inlineStr">
        <is>
          <t>130/80</t>
        </is>
      </c>
      <c r="AA43" t="inlineStr">
        <is>
          <t>110/80</t>
        </is>
      </c>
      <c r="AB43" t="n">
        <v>25</v>
      </c>
      <c r="AC43" t="inlineStr">
        <is>
          <t>помірні фіброзні зміни дифузний тип</t>
        </is>
      </c>
      <c r="AD43" t="n">
        <v>116</v>
      </c>
      <c r="AE43" t="n">
        <v>118</v>
      </c>
      <c r="AF43" t="n">
        <v>9.800000000000001</v>
      </c>
      <c r="AG43" t="n">
        <v>9.699999999999999</v>
      </c>
      <c r="AH43" t="n">
        <v>18</v>
      </c>
      <c r="AI43" t="n">
        <v>6</v>
      </c>
      <c r="AJ43" t="n">
        <v>67</v>
      </c>
      <c r="AK43" t="n">
        <v>82</v>
      </c>
      <c r="AL43" t="n">
        <v>10</v>
      </c>
      <c r="AM43" t="n">
        <v>10</v>
      </c>
      <c r="AN43" t="n">
        <v>18</v>
      </c>
      <c r="AO43" t="n">
        <v>12</v>
      </c>
      <c r="AP43" t="n">
        <v>18</v>
      </c>
      <c r="AU43" t="n">
        <v>796.1900000000001</v>
      </c>
      <c r="AX43" t="n">
        <v>18.22</v>
      </c>
      <c r="AY43" t="n">
        <v>42</v>
      </c>
      <c r="AZ43" t="n">
        <v>36</v>
      </c>
      <c r="BA43" t="n">
        <v>12.3</v>
      </c>
      <c r="BB43" t="n">
        <v>16.4</v>
      </c>
      <c r="BC43" t="n">
        <v>5.41</v>
      </c>
      <c r="BD43" t="n">
        <v>1.5</v>
      </c>
      <c r="BE43" t="n">
        <v>1.19</v>
      </c>
      <c r="BF43" t="n">
        <v>1.53</v>
      </c>
      <c r="BG43" t="n">
        <v>78</v>
      </c>
      <c r="BH43" t="n">
        <v>60</v>
      </c>
      <c r="BI43" t="n">
        <v>4.7</v>
      </c>
      <c r="BJ43" t="n">
        <v>4.3</v>
      </c>
      <c r="BK43" t="n">
        <v>71</v>
      </c>
      <c r="BL43" t="n">
        <v>70</v>
      </c>
      <c r="BM43" t="n">
        <v>11.9</v>
      </c>
      <c r="BN43" t="n">
        <v>11.9</v>
      </c>
      <c r="BO43" t="n">
        <v>3.4</v>
      </c>
      <c r="BP43" t="n">
        <v>3.4</v>
      </c>
      <c r="BQ43" t="n">
        <v>8.5</v>
      </c>
      <c r="BR43" t="n">
        <v>8.5</v>
      </c>
      <c r="BS43" t="n">
        <v>45.2</v>
      </c>
      <c r="BT43" t="n">
        <v>52.4</v>
      </c>
      <c r="BU43" t="n">
        <v>36.2</v>
      </c>
      <c r="BV43" t="n">
        <v>30.2</v>
      </c>
      <c r="BW43" t="n">
        <v>5.1</v>
      </c>
      <c r="BX43" t="n">
        <v>6.1</v>
      </c>
      <c r="BY43" t="inlineStr">
        <is>
          <t>стан після комбінованого лікув Cr матки</t>
        </is>
      </c>
    </row>
    <row r="44" customFormat="1" s="5">
      <c r="A44" s="5" t="n">
        <v>1</v>
      </c>
      <c r="B44" s="5" t="n">
        <v>492</v>
      </c>
      <c r="C44" s="5" t="inlineStr">
        <is>
          <t>Чернегаа Олена Іванівна</t>
        </is>
      </c>
      <c r="D44" s="5" t="n">
        <v>75</v>
      </c>
      <c r="E44" s="5" t="inlineStr">
        <is>
          <t>ж</t>
        </is>
      </c>
      <c r="F44" s="5" t="inlineStr">
        <is>
          <t>син Юрій 0968372527</t>
        </is>
      </c>
      <c r="G44" s="5" t="inlineStr">
        <is>
          <t>Негосп дв полісегм пнев 4 кл група</t>
        </is>
      </c>
      <c r="H44" s="5" t="inlineStr">
        <is>
          <t>важкий</t>
        </is>
      </c>
      <c r="I44" s="5" t="inlineStr">
        <is>
          <t>ІІ-ІІІ</t>
        </is>
      </c>
      <c r="J44" s="5" t="inlineStr">
        <is>
          <t>Гострий респіраторний дистрес синдром,ТЕЛА?Прогресуюча серц-леген недос</t>
        </is>
      </c>
      <c r="K44" s="5" t="inlineStr">
        <is>
          <t>ЦД тип ІІ вперше вияв ІХС ДК ГХ2 ГЛШст2 СН2а. Хрон нирк недос ІІст, хрон пієлонефрит</t>
        </is>
      </c>
      <c r="O44" s="5" t="n">
        <v>75</v>
      </c>
      <c r="P44" s="5" t="n">
        <v>93</v>
      </c>
      <c r="R44" s="5" t="n">
        <v>3</v>
      </c>
      <c r="S44" s="6" t="n">
        <v>44663</v>
      </c>
      <c r="T44" s="6" t="n">
        <v>44693</v>
      </c>
      <c r="U44" s="5" t="n">
        <v>30</v>
      </c>
      <c r="V44" s="6" t="n">
        <v>44694</v>
      </c>
      <c r="W44" s="5" t="inlineStr">
        <is>
          <t>3 дні до госп</t>
        </is>
      </c>
      <c r="Z44" s="5" t="inlineStr">
        <is>
          <t>130/80</t>
        </is>
      </c>
      <c r="AA44" s="5" t="inlineStr">
        <is>
          <t>125/75</t>
        </is>
      </c>
      <c r="AB44" s="5" t="n">
        <v>30</v>
      </c>
      <c r="AC44" s="5" t="inlineStr">
        <is>
          <t>виражені інтерстиційні зміни біл в базально-латеральних сегментах</t>
        </is>
      </c>
      <c r="AD44" s="5" t="n">
        <v>124</v>
      </c>
      <c r="AE44" s="5" t="n">
        <v>126</v>
      </c>
      <c r="AF44" s="5" t="n">
        <v>13.8</v>
      </c>
      <c r="AG44" s="5" t="n">
        <v>16.8</v>
      </c>
      <c r="AH44" s="5" t="n">
        <v>32</v>
      </c>
      <c r="AI44" s="5" t="n">
        <v>27</v>
      </c>
      <c r="AJ44" s="5" t="n">
        <v>52</v>
      </c>
      <c r="AK44" s="5" t="n">
        <v>65</v>
      </c>
      <c r="AL44" s="5" t="n">
        <v>7</v>
      </c>
      <c r="AM44" s="5" t="n">
        <v>4</v>
      </c>
      <c r="AN44" s="5" t="n">
        <v>40</v>
      </c>
      <c r="AO44" s="5" t="n">
        <v>45</v>
      </c>
      <c r="AP44" s="5" t="n">
        <v>8</v>
      </c>
      <c r="AY44" s="5" t="n">
        <v>37</v>
      </c>
      <c r="AZ44" s="5" t="n">
        <v>39</v>
      </c>
      <c r="BA44" s="5" t="n">
        <v>10.6</v>
      </c>
      <c r="BB44" s="5" t="n">
        <v>9.5</v>
      </c>
      <c r="BC44" s="5" t="n">
        <v>4.4</v>
      </c>
      <c r="BD44" s="5" t="n">
        <v>5.37</v>
      </c>
      <c r="BE44" s="5" t="n">
        <v>1.03</v>
      </c>
      <c r="BF44" s="5" t="n">
        <v>0.9399999999999999</v>
      </c>
      <c r="BG44" s="5" t="n">
        <v>73</v>
      </c>
      <c r="BH44" s="5" t="n">
        <v>61.5</v>
      </c>
      <c r="BI44" s="5" t="n">
        <v>12</v>
      </c>
      <c r="BJ44" s="5" t="n">
        <v>14.2</v>
      </c>
      <c r="BK44" s="5" t="n">
        <v>132</v>
      </c>
      <c r="BL44" s="5" t="n">
        <v>120</v>
      </c>
      <c r="BM44" s="5" t="n">
        <v>11.9</v>
      </c>
      <c r="BN44" s="5" t="n">
        <v>13.6</v>
      </c>
      <c r="BO44" s="5" t="n">
        <v>3.4</v>
      </c>
      <c r="BP44" s="5" t="n">
        <v>5.4</v>
      </c>
      <c r="BQ44" s="5" t="n">
        <v>8.5</v>
      </c>
      <c r="BR44" s="5" t="n">
        <v>8.5</v>
      </c>
      <c r="BS44" s="5" t="n">
        <v>22.3</v>
      </c>
      <c r="BT44" s="5" t="n">
        <v>37.4</v>
      </c>
      <c r="BU44" s="5" t="n">
        <v>18.2</v>
      </c>
      <c r="BV44" s="5" t="n">
        <v>36.2</v>
      </c>
      <c r="BW44" s="5" t="n">
        <v>9.300000000000001</v>
      </c>
      <c r="BX44" s="5" t="n">
        <v>17.8</v>
      </c>
    </row>
    <row r="45" customFormat="1" s="5">
      <c r="A45" s="5" t="n">
        <v>1</v>
      </c>
      <c r="B45" s="5" t="n">
        <v>2455</v>
      </c>
      <c r="C45" s="5" t="inlineStr">
        <is>
          <t>Лесюка Світлана Богданівна</t>
        </is>
      </c>
      <c r="D45" s="5" t="n">
        <v>45</v>
      </c>
      <c r="E45" s="5" t="inlineStr">
        <is>
          <t>ж</t>
        </is>
      </c>
      <c r="F45" s="5" t="inlineStr">
        <is>
          <t>брат Олег 0999043163</t>
        </is>
      </c>
      <c r="G45" s="5" t="inlineStr">
        <is>
          <t>Негосп дв полісегм пнев 4 кл група</t>
        </is>
      </c>
      <c r="H45" s="5" t="inlineStr">
        <is>
          <t>важкий</t>
        </is>
      </c>
      <c r="I45" s="5" t="inlineStr">
        <is>
          <t>ІІ-ІІІ</t>
        </is>
      </c>
      <c r="J45" s="5" t="inlineStr">
        <is>
          <t>Гострий респіраторний дистрес синдром,ТЕЛА?Прогресуюча серц-леген недос.Септичний шок. Бактеріальна деструкція легень</t>
        </is>
      </c>
      <c r="K45" s="5" t="inlineStr">
        <is>
          <t xml:space="preserve">ГХ 2 ГЛШст2 СН І </t>
        </is>
      </c>
      <c r="O45" s="5" t="n">
        <v>69</v>
      </c>
      <c r="P45" s="5" t="n">
        <v>95</v>
      </c>
      <c r="R45" s="5" t="n">
        <v>6</v>
      </c>
      <c r="S45" s="6" t="n">
        <v>44715</v>
      </c>
      <c r="T45" s="6" t="n">
        <v>44729</v>
      </c>
      <c r="U45" s="5" t="n">
        <v>14</v>
      </c>
      <c r="V45" s="6" t="n">
        <v>44730</v>
      </c>
      <c r="W45" s="5" t="inlineStr">
        <is>
          <t>7 днів до госп + відд</t>
        </is>
      </c>
      <c r="X45" s="5" t="inlineStr">
        <is>
          <t>3 дні в стац</t>
        </is>
      </c>
      <c r="Y45" s="5" t="inlineStr">
        <is>
          <t>10 днів в стац</t>
        </is>
      </c>
      <c r="Z45" s="5" t="inlineStr">
        <is>
          <t>160/100</t>
        </is>
      </c>
      <c r="AA45" s="5" t="inlineStr">
        <is>
          <t>140/80</t>
        </is>
      </c>
      <c r="AB45" s="5" t="n">
        <v>14</v>
      </c>
      <c r="AC45" s="5" t="inlineStr">
        <is>
          <t>значні інтерстиц зміни правої легені, зліва помірні</t>
        </is>
      </c>
      <c r="AD45" s="5" t="n">
        <v>118</v>
      </c>
      <c r="AE45" s="5" t="n">
        <v>75</v>
      </c>
      <c r="AF45" s="5" t="n">
        <v>15</v>
      </c>
      <c r="AG45" s="5" t="n">
        <v>14.3</v>
      </c>
      <c r="AH45" s="5" t="n">
        <v>3</v>
      </c>
      <c r="AI45" s="5" t="n">
        <v>40</v>
      </c>
      <c r="AJ45" s="5" t="n">
        <v>86</v>
      </c>
      <c r="AK45" s="5" t="n">
        <v>52</v>
      </c>
      <c r="AL45" s="5" t="n">
        <v>8</v>
      </c>
      <c r="AM45" s="5" t="n">
        <v>2</v>
      </c>
      <c r="AN45" s="5" t="n">
        <v>30</v>
      </c>
      <c r="AO45" s="5" t="n">
        <v>65</v>
      </c>
      <c r="AP45" s="5" t="n">
        <v>72</v>
      </c>
      <c r="AQ45" s="5" t="n">
        <v>9</v>
      </c>
      <c r="AU45" s="5" t="n">
        <v>10000</v>
      </c>
      <c r="AV45" s="5" t="n">
        <v>5829.55</v>
      </c>
      <c r="AY45" s="5" t="n">
        <v>21</v>
      </c>
      <c r="AZ45" s="5" t="n">
        <v>49</v>
      </c>
      <c r="BA45" s="5" t="n">
        <v>15.8</v>
      </c>
      <c r="BB45" s="5" t="n">
        <v>22.2</v>
      </c>
      <c r="BC45" s="5" t="n">
        <v>4.74</v>
      </c>
      <c r="BD45" s="5" t="n">
        <v>7.5</v>
      </c>
      <c r="BE45" s="5" t="n">
        <v>1.5</v>
      </c>
      <c r="BF45" s="5" t="n">
        <v>2.05</v>
      </c>
      <c r="BG45" s="5" t="n">
        <v>63</v>
      </c>
      <c r="BH45" s="5" t="n">
        <v>58</v>
      </c>
      <c r="BI45" s="5" t="n">
        <v>8.5</v>
      </c>
      <c r="BJ45" s="5" t="n">
        <v>10.5</v>
      </c>
      <c r="BK45" s="5" t="n">
        <v>107</v>
      </c>
      <c r="BL45" s="5" t="n">
        <v>132</v>
      </c>
      <c r="BN45" s="5" t="n">
        <v>13.6</v>
      </c>
      <c r="BP45" s="5" t="n">
        <v>3.4</v>
      </c>
      <c r="BR45" s="5" t="n">
        <v>10.2</v>
      </c>
      <c r="BT45" s="5" t="n">
        <v>30.2</v>
      </c>
      <c r="BV45" s="5" t="n">
        <v>45.2</v>
      </c>
      <c r="BW45" s="5" t="n">
        <v>13</v>
      </c>
      <c r="BX45" s="5" t="n">
        <v>7.7</v>
      </c>
      <c r="BY45" s="5" t="inlineStr">
        <is>
          <t>переливання еритроцитарної маси</t>
        </is>
      </c>
    </row>
    <row r="46" customFormat="1" s="5">
      <c r="A46" s="5" t="n">
        <v>1</v>
      </c>
      <c r="B46" s="5" t="n">
        <v>296</v>
      </c>
      <c r="C46" s="5" t="inlineStr">
        <is>
          <t>Жуковськийа Валентина Василівна</t>
        </is>
      </c>
      <c r="D46" s="5" t="n">
        <v>66</v>
      </c>
      <c r="E46" s="5" t="inlineStr">
        <is>
          <t>ж</t>
        </is>
      </c>
      <c r="F46" s="5" t="inlineStr">
        <is>
          <t>чол Володимир 0503729871</t>
        </is>
      </c>
      <c r="G46" s="5" t="inlineStr">
        <is>
          <t>Негосп дв полісегм пнев 4 кл група</t>
        </is>
      </c>
      <c r="H46" s="5" t="inlineStr">
        <is>
          <t>важкий</t>
        </is>
      </c>
      <c r="I46" s="5" t="inlineStr">
        <is>
          <t>ІІ-ІІІ</t>
        </is>
      </c>
      <c r="J46" s="5" t="inlineStr">
        <is>
          <t>Гострий респіраторний дистрес синдром,ТЕЛА?Прогресуюча серц-леген недос</t>
        </is>
      </c>
      <c r="K46" s="5" t="inlineStr">
        <is>
          <t>ЦД тип ІІ, ІХС ДК Стенокардія напруги ГХст2</t>
        </is>
      </c>
      <c r="O46" s="5" t="n">
        <v>74</v>
      </c>
      <c r="P46" s="5" t="n">
        <v>90</v>
      </c>
      <c r="R46" s="5" t="n">
        <v>10</v>
      </c>
      <c r="S46" s="6" t="n">
        <v>44639</v>
      </c>
      <c r="T46" s="6" t="n">
        <v>44659</v>
      </c>
      <c r="U46" s="5" t="n">
        <v>20</v>
      </c>
      <c r="V46" s="6" t="n">
        <v>44660</v>
      </c>
      <c r="W46" s="5" t="inlineStr">
        <is>
          <t>4 дні до госп</t>
        </is>
      </c>
      <c r="Y46" s="5" t="inlineStr">
        <is>
          <t>2 дні в стац</t>
        </is>
      </c>
      <c r="Z46" s="5" t="inlineStr">
        <is>
          <t>120/80</t>
        </is>
      </c>
      <c r="AA46" s="5" t="inlineStr">
        <is>
          <t>130/80</t>
        </is>
      </c>
      <c r="AB46" s="5" t="n">
        <v>20</v>
      </c>
      <c r="AC46" s="5" t="inlineStr">
        <is>
          <t>інтерст-кортикальні зміни біл виражені в перед правих сегм</t>
        </is>
      </c>
      <c r="AD46" s="5" t="n">
        <v>140</v>
      </c>
      <c r="AE46" s="5" t="n">
        <v>158</v>
      </c>
      <c r="AF46" s="5" t="n">
        <v>7.7</v>
      </c>
      <c r="AG46" s="5" t="n">
        <v>10.2</v>
      </c>
      <c r="AH46" s="5" t="n">
        <v>15</v>
      </c>
      <c r="AI46" s="5" t="n">
        <v>6</v>
      </c>
      <c r="AJ46" s="5" t="n">
        <v>61</v>
      </c>
      <c r="AK46" s="5" t="n">
        <v>77</v>
      </c>
      <c r="AL46" s="5" t="n">
        <v>15</v>
      </c>
      <c r="AM46" s="5" t="n">
        <v>11</v>
      </c>
      <c r="AN46" s="5" t="n">
        <v>40</v>
      </c>
      <c r="AO46" s="5" t="n">
        <v>27</v>
      </c>
      <c r="AU46" s="5" t="n">
        <v>5044</v>
      </c>
      <c r="AV46" s="5" t="n">
        <v>0.25</v>
      </c>
      <c r="AY46" s="5" t="n">
        <v>40</v>
      </c>
      <c r="AZ46" s="5" t="n">
        <v>56</v>
      </c>
      <c r="BA46" s="5" t="n">
        <v>15</v>
      </c>
      <c r="BB46" s="5" t="n">
        <v>11.3</v>
      </c>
      <c r="BC46" s="5" t="n">
        <v>5.5</v>
      </c>
      <c r="BD46" s="5" t="n">
        <v>5.2</v>
      </c>
      <c r="BF46" s="5" t="n">
        <v>1.09</v>
      </c>
      <c r="BG46" s="5" t="n">
        <v>81</v>
      </c>
      <c r="BH46" s="5" t="n">
        <v>56</v>
      </c>
      <c r="BI46" s="5" t="n">
        <v>7.9</v>
      </c>
      <c r="BJ46" s="5" t="n">
        <v>7.7</v>
      </c>
      <c r="BK46" s="5" t="n">
        <v>107</v>
      </c>
      <c r="BL46" s="5" t="n">
        <v>104</v>
      </c>
      <c r="BM46" s="5" t="n">
        <v>20.4</v>
      </c>
      <c r="BN46" s="5" t="n">
        <v>18.7</v>
      </c>
      <c r="BO46" s="5" t="n">
        <v>6.8</v>
      </c>
      <c r="BP46" s="5" t="n">
        <v>6.8</v>
      </c>
      <c r="BQ46" s="5" t="n">
        <v>13.6</v>
      </c>
      <c r="BR46" s="5" t="n">
        <v>13.6</v>
      </c>
      <c r="BS46" s="5" t="n">
        <v>135.7</v>
      </c>
      <c r="BT46" s="5" t="n">
        <v>45.2</v>
      </c>
      <c r="BU46" s="5" t="n">
        <v>90.40000000000001</v>
      </c>
      <c r="BV46" s="5" t="n">
        <v>30.2</v>
      </c>
      <c r="BW46" s="5" t="n">
        <v>4.7</v>
      </c>
      <c r="BX46" s="5" t="n">
        <v>13.6</v>
      </c>
    </row>
    <row r="47" customFormat="1" s="5">
      <c r="A47" s="5" t="n">
        <v>1</v>
      </c>
      <c r="B47" s="5" t="n">
        <v>1837</v>
      </c>
      <c r="C47" s="5" t="inlineStr">
        <is>
          <t>Лесюка Зоряна Олегівна</t>
        </is>
      </c>
      <c r="D47" s="5" t="n">
        <v>60</v>
      </c>
      <c r="E47" s="5" t="inlineStr">
        <is>
          <t>ж</t>
        </is>
      </c>
      <c r="F47" s="5" t="inlineStr">
        <is>
          <t>дочка Олена 0676079113</t>
        </is>
      </c>
      <c r="G47" s="5" t="inlineStr">
        <is>
          <t>Негосп дв полісегм пнев 4 кл група</t>
        </is>
      </c>
      <c r="H47" s="5" t="inlineStr">
        <is>
          <t>важкий</t>
        </is>
      </c>
      <c r="I47" s="5" t="inlineStr">
        <is>
          <t>ІІ-ІІІ</t>
        </is>
      </c>
      <c r="J47" s="5" t="inlineStr">
        <is>
          <t>Гострий респіраторний дистрес синдром,ТЕЛА?Прогресуюча серц-леген недос. Гостре порушення мозкового кровообігу</t>
        </is>
      </c>
      <c r="K47" s="5" t="inlineStr">
        <is>
          <t>ІХС ДК ГХст2</t>
        </is>
      </c>
      <c r="O47" s="5" t="n">
        <v>60</v>
      </c>
      <c r="P47" s="5" t="n">
        <v>89</v>
      </c>
      <c r="R47" s="5" t="n">
        <v>7</v>
      </c>
      <c r="S47" s="6" t="n">
        <v>44657</v>
      </c>
      <c r="T47" s="6" t="n">
        <v>44665</v>
      </c>
      <c r="U47" s="5" t="n">
        <v>8</v>
      </c>
      <c r="V47" s="6" t="n">
        <v>44666</v>
      </c>
      <c r="W47" s="5" t="inlineStr">
        <is>
          <t>3 дні до госп</t>
        </is>
      </c>
      <c r="Y47" s="5" t="inlineStr">
        <is>
          <t>2 дні в стац</t>
        </is>
      </c>
      <c r="Z47" s="5" t="inlineStr">
        <is>
          <t>130/80</t>
        </is>
      </c>
      <c r="AA47" s="5" t="inlineStr">
        <is>
          <t>120/80</t>
        </is>
      </c>
      <c r="AB47" s="5" t="n">
        <v>8</v>
      </c>
      <c r="AC47" s="5" t="inlineStr">
        <is>
          <t>значні інтерстиц зміни в задніх та передніх зонах</t>
        </is>
      </c>
      <c r="AD47" s="5" t="n">
        <v>121</v>
      </c>
      <c r="AE47" s="5" t="n">
        <v>129</v>
      </c>
      <c r="AF47" s="5" t="n">
        <v>17.2</v>
      </c>
      <c r="AG47" s="5" t="n">
        <v>10</v>
      </c>
      <c r="AH47" s="5" t="n">
        <v>19</v>
      </c>
      <c r="AI47" s="5" t="n">
        <v>20</v>
      </c>
      <c r="AJ47" s="5" t="n">
        <v>71</v>
      </c>
      <c r="AK47" s="5" t="n">
        <v>74</v>
      </c>
      <c r="AL47" s="5" t="n">
        <v>7</v>
      </c>
      <c r="AM47" s="5" t="n">
        <v>3</v>
      </c>
      <c r="AN47" s="5" t="n">
        <v>65</v>
      </c>
      <c r="AO47" s="5" t="n">
        <v>4</v>
      </c>
      <c r="AR47" s="5" t="n">
        <v>563.2</v>
      </c>
      <c r="AS47" s="5" t="n">
        <v>437.9</v>
      </c>
      <c r="AU47" s="5" t="n">
        <v>10000</v>
      </c>
      <c r="AV47" s="5" t="n">
        <v>2331.42</v>
      </c>
      <c r="AY47" s="5" t="n">
        <v>37</v>
      </c>
      <c r="BA47" s="5" t="n">
        <v>13.1</v>
      </c>
      <c r="BB47" s="5" t="n">
        <v>40</v>
      </c>
      <c r="BC47" s="5" t="n">
        <v>17.13</v>
      </c>
      <c r="BD47" s="5" t="n">
        <v>2.59</v>
      </c>
      <c r="BE47" s="5" t="n">
        <v>1.25</v>
      </c>
      <c r="BF47" s="5" t="n">
        <v>1.17</v>
      </c>
      <c r="BG47" s="5" t="n">
        <v>56</v>
      </c>
      <c r="BH47" s="5" t="n">
        <v>73</v>
      </c>
      <c r="BI47" s="5" t="n">
        <v>4.8</v>
      </c>
      <c r="BJ47" s="5" t="n">
        <v>5.5</v>
      </c>
      <c r="BK47" s="5" t="n">
        <v>76</v>
      </c>
      <c r="BL47" s="5" t="n">
        <v>80</v>
      </c>
      <c r="BM47" s="5" t="n">
        <v>11.9</v>
      </c>
      <c r="BN47" s="5" t="n">
        <v>15.3</v>
      </c>
      <c r="BO47" s="5" t="n">
        <v>3.7</v>
      </c>
      <c r="BP47" s="5" t="n">
        <v>3.4</v>
      </c>
      <c r="BQ47" s="5" t="n">
        <v>8.800000000000001</v>
      </c>
      <c r="BR47" s="5" t="n">
        <v>10.2</v>
      </c>
      <c r="BS47" s="5" t="n">
        <v>45.2</v>
      </c>
      <c r="BT47" s="5" t="n">
        <v>75.40000000000001</v>
      </c>
      <c r="BU47" s="5" t="n">
        <v>30.2</v>
      </c>
      <c r="BV47" s="5" t="n">
        <v>60.4</v>
      </c>
      <c r="BW47" s="5" t="n">
        <v>7.4</v>
      </c>
      <c r="BX47" s="5" t="n">
        <v>8.300000000000001</v>
      </c>
    </row>
    <row r="48" customFormat="1" s="5">
      <c r="A48" s="5" t="n">
        <v>1</v>
      </c>
      <c r="B48" s="5" t="n">
        <v>893</v>
      </c>
      <c r="C48" s="5" t="inlineStr">
        <is>
          <t>Іщука Світлана Григорівна</t>
        </is>
      </c>
      <c r="D48" s="5" t="n">
        <v>69</v>
      </c>
      <c r="E48" s="5" t="inlineStr">
        <is>
          <t>ж</t>
        </is>
      </c>
      <c r="F48" s="5" t="inlineStr">
        <is>
          <t>син ОЛлександр0635219803</t>
        </is>
      </c>
      <c r="G48" s="5" t="inlineStr">
        <is>
          <t>Негосп дв полісегм пнев 4 кл група</t>
        </is>
      </c>
      <c r="H48" s="5" t="inlineStr">
        <is>
          <t>важкий</t>
        </is>
      </c>
      <c r="I48" s="5" t="inlineStr">
        <is>
          <t>ІІ-ІІІ</t>
        </is>
      </c>
      <c r="J48" s="5" t="inlineStr">
        <is>
          <t>Гострий респіраторний дистрес синдром. Прогресуюча серц-леген недос. Сладж синдром .Гостра емфізема легень.Вірусний енцефаліт</t>
        </is>
      </c>
      <c r="K48" s="5" t="inlineStr">
        <is>
          <t>ІХС ДК ГХст2</t>
        </is>
      </c>
      <c r="O48" s="5" t="n">
        <v>50</v>
      </c>
      <c r="P48" s="5" t="n">
        <v>89</v>
      </c>
      <c r="R48" s="5" t="n">
        <v>11</v>
      </c>
      <c r="S48" s="6" t="n">
        <v>44641</v>
      </c>
      <c r="T48" s="6" t="n">
        <v>44644</v>
      </c>
      <c r="U48" s="5" t="n">
        <v>3</v>
      </c>
      <c r="V48" s="6" t="n">
        <v>44644</v>
      </c>
      <c r="W48" s="5" t="inlineStr">
        <is>
          <t>4дні до госп</t>
        </is>
      </c>
      <c r="Y48" s="5" t="inlineStr">
        <is>
          <t>2 дні в стац</t>
        </is>
      </c>
      <c r="Z48" s="5" t="inlineStr">
        <is>
          <t>130/80</t>
        </is>
      </c>
      <c r="AA48" s="5" t="inlineStr">
        <is>
          <t xml:space="preserve">110/70 </t>
        </is>
      </c>
      <c r="AB48" s="5" t="n">
        <v>3</v>
      </c>
      <c r="AD48" s="5" t="n">
        <v>100</v>
      </c>
      <c r="AF48" s="5" t="n">
        <v>5.7</v>
      </c>
      <c r="AH48" s="5" t="n">
        <v>17</v>
      </c>
      <c r="AJ48" s="5" t="n">
        <v>74</v>
      </c>
      <c r="AL48" s="5" t="n">
        <v>6</v>
      </c>
      <c r="AN48" s="5" t="n">
        <v>48</v>
      </c>
      <c r="AP48" s="5" t="n">
        <v>12</v>
      </c>
      <c r="AU48" s="5" t="n">
        <v>700</v>
      </c>
      <c r="AX48" s="12" t="inlineStr">
        <is>
          <t>0.10</t>
        </is>
      </c>
      <c r="AY48" s="5" t="n">
        <v>28</v>
      </c>
      <c r="BA48" s="14" t="inlineStr">
        <is>
          <t>12.</t>
        </is>
      </c>
      <c r="BC48" s="14" t="inlineStr">
        <is>
          <t>5.9.</t>
        </is>
      </c>
      <c r="BD48" s="8" t="n"/>
      <c r="BE48" s="5" t="n">
        <v>1.23</v>
      </c>
      <c r="BG48" s="5" t="n">
        <v>67</v>
      </c>
      <c r="BI48" s="5" t="n">
        <v>5</v>
      </c>
      <c r="BK48" s="5" t="n">
        <v>77</v>
      </c>
      <c r="BM48" s="5" t="n">
        <v>18.7</v>
      </c>
      <c r="BO48" s="5" t="n">
        <v>6.8</v>
      </c>
      <c r="BQ48" s="5" t="n">
        <v>11.9</v>
      </c>
      <c r="BS48" s="5" t="n">
        <v>112.8</v>
      </c>
      <c r="BU48" s="5" t="n">
        <v>96.3</v>
      </c>
      <c r="BW48" s="5" t="n">
        <v>4.5</v>
      </c>
    </row>
    <row r="49" customFormat="1" s="5">
      <c r="A49" s="5" t="n">
        <v>1</v>
      </c>
      <c r="B49" s="5" t="n">
        <v>1568</v>
      </c>
      <c r="C49" s="5" t="inlineStr">
        <is>
          <t>Ткачук Петро Володимирович</t>
        </is>
      </c>
      <c r="D49" s="5" t="n">
        <v>70</v>
      </c>
      <c r="E49" s="5" t="inlineStr">
        <is>
          <t>ч</t>
        </is>
      </c>
      <c r="F49" s="5" t="inlineStr">
        <is>
          <t>дочка Юлія 0638639848</t>
        </is>
      </c>
      <c r="G49" s="5" t="inlineStr">
        <is>
          <t>Негосп дв полісегм пнев 4 кл група</t>
        </is>
      </c>
      <c r="H49" s="5" t="inlineStr">
        <is>
          <t>важкий</t>
        </is>
      </c>
      <c r="I49" s="5" t="inlineStr">
        <is>
          <t>ІІ-ІІІ</t>
        </is>
      </c>
      <c r="J49" s="5" t="inlineStr">
        <is>
          <t>Гострий респіраторний дистрес синдром.Гострий некротичний нефроз. Набряк легень</t>
        </is>
      </c>
      <c r="K49" s="5" t="inlineStr">
        <is>
          <t>ІХС ДК ГХст2</t>
        </is>
      </c>
      <c r="O49" s="5" t="n">
        <v>64</v>
      </c>
      <c r="P49" s="5" t="n">
        <v>95</v>
      </c>
      <c r="R49" s="5" t="n">
        <v>14</v>
      </c>
      <c r="S49" s="6" t="n">
        <v>44667</v>
      </c>
      <c r="T49" s="6" t="n">
        <v>44675</v>
      </c>
      <c r="U49" s="5" t="n">
        <v>8</v>
      </c>
      <c r="V49" s="6" t="n">
        <v>44677</v>
      </c>
      <c r="X49" s="5" t="inlineStr">
        <is>
          <t>3дні вдома</t>
        </is>
      </c>
      <c r="Z49" s="5" t="inlineStr">
        <is>
          <t>150/100</t>
        </is>
      </c>
      <c r="AA49" s="5" t="inlineStr">
        <is>
          <t>130/80</t>
        </is>
      </c>
      <c r="AB49" s="5" t="n">
        <v>8</v>
      </c>
      <c r="AC49" s="5" t="inlineStr">
        <is>
          <t>значні фіброзні зміни в задніх зонах</t>
        </is>
      </c>
      <c r="AD49" s="5" t="n">
        <v>142</v>
      </c>
      <c r="AE49" s="5" t="n">
        <v>139</v>
      </c>
      <c r="AF49" s="5" t="n">
        <v>17.2</v>
      </c>
      <c r="AG49" s="5" t="n">
        <v>17.3</v>
      </c>
      <c r="AH49" s="5" t="n">
        <v>16</v>
      </c>
      <c r="AI49" s="5" t="n">
        <v>8</v>
      </c>
      <c r="AJ49" s="5" t="n">
        <v>76</v>
      </c>
      <c r="AK49" s="5" t="n">
        <v>82</v>
      </c>
      <c r="AL49" s="5" t="n">
        <v>3</v>
      </c>
      <c r="AM49" s="5" t="n">
        <v>5</v>
      </c>
      <c r="AN49" s="5" t="n">
        <v>36</v>
      </c>
      <c r="AO49" s="5" t="n">
        <v>45</v>
      </c>
      <c r="AP49" s="5" t="n">
        <v>18</v>
      </c>
      <c r="AU49" s="5" t="n">
        <v>3250</v>
      </c>
      <c r="AY49" s="5" t="n">
        <v>38</v>
      </c>
      <c r="AZ49" s="5" t="n">
        <v>42</v>
      </c>
      <c r="BA49" s="5" t="n">
        <v>15.5</v>
      </c>
      <c r="BB49" s="5" t="n">
        <v>13.9</v>
      </c>
      <c r="BC49" s="5" t="n">
        <v>9.289999999999999</v>
      </c>
      <c r="BD49" s="5" t="n">
        <v>4.55</v>
      </c>
      <c r="BE49" s="5" t="n">
        <v>1.45</v>
      </c>
      <c r="BF49" s="5" t="n">
        <v>1.32</v>
      </c>
      <c r="BG49" s="5" t="n">
        <v>70</v>
      </c>
      <c r="BH49" s="5" t="n">
        <v>86</v>
      </c>
      <c r="BI49" s="12" t="inlineStr">
        <is>
          <t>8.0</t>
        </is>
      </c>
      <c r="BJ49" s="5" t="n">
        <v>12.4</v>
      </c>
      <c r="BK49" s="5" t="n">
        <v>106</v>
      </c>
      <c r="BL49" s="5" t="n">
        <v>131</v>
      </c>
      <c r="BM49" s="5" t="n">
        <v>18.7</v>
      </c>
      <c r="BN49" s="5" t="n">
        <v>18.7</v>
      </c>
      <c r="BO49" s="5" t="n">
        <v>6.8</v>
      </c>
      <c r="BP49" s="5" t="n">
        <v>6.8</v>
      </c>
      <c r="BQ49" s="5" t="n">
        <v>11.9</v>
      </c>
      <c r="BR49" s="5" t="n">
        <v>11.8</v>
      </c>
      <c r="BS49" s="5" t="n">
        <v>67.5</v>
      </c>
      <c r="BT49" s="5" t="n">
        <v>45.2</v>
      </c>
      <c r="BU49" s="5" t="n">
        <v>42.2</v>
      </c>
      <c r="BV49" s="5" t="n">
        <v>24.1</v>
      </c>
      <c r="BW49" s="5" t="n">
        <v>7.6</v>
      </c>
      <c r="BX49" s="5" t="n">
        <v>7</v>
      </c>
    </row>
    <row r="50" customFormat="1" s="5">
      <c r="A50" s="5" t="n">
        <v>1</v>
      </c>
      <c r="B50" s="5" t="n">
        <v>2526</v>
      </c>
      <c r="C50" s="5" t="inlineStr">
        <is>
          <t>Андрусяка Ольга Сергіївна</t>
        </is>
      </c>
      <c r="D50" s="5" t="n">
        <v>50</v>
      </c>
      <c r="E50" s="5" t="inlineStr">
        <is>
          <t>ж</t>
        </is>
      </c>
      <c r="F50" s="5" t="inlineStr">
        <is>
          <t>син Богдан 0632692767</t>
        </is>
      </c>
      <c r="G50" s="5" t="inlineStr">
        <is>
          <t>Негосп дв полісегм пнев 4 кл група</t>
        </is>
      </c>
      <c r="H50" s="5" t="inlineStr">
        <is>
          <t>важкий</t>
        </is>
      </c>
      <c r="I50" s="5" t="inlineStr">
        <is>
          <t>ІІ-ІІІ</t>
        </is>
      </c>
      <c r="J50" s="5" t="inlineStr">
        <is>
          <t>Гострий респіраторний дистрес синдром. Прогресуюча серц-леген недос .Гостра емфізема легень.Токсико-інфекційний шок</t>
        </is>
      </c>
      <c r="K50" s="5" t="inlineStr">
        <is>
          <t>ІХС ДК ГХст3</t>
        </is>
      </c>
      <c r="L50" s="7" t="n">
        <v>0.5</v>
      </c>
      <c r="M50" s="7" t="inlineStr">
        <is>
          <t>важкий</t>
        </is>
      </c>
      <c r="O50" s="5" t="n">
        <v>80</v>
      </c>
      <c r="P50" s="5" t="n">
        <v>89</v>
      </c>
      <c r="R50" s="5" t="n">
        <v>21</v>
      </c>
      <c r="S50" s="6" t="n">
        <v>44633</v>
      </c>
      <c r="T50" s="6" t="n">
        <v>44644</v>
      </c>
      <c r="U50" s="5" t="n">
        <v>11</v>
      </c>
      <c r="V50" s="6" t="n">
        <v>44649</v>
      </c>
      <c r="X50" s="5" t="inlineStr">
        <is>
          <t>10 днів вдома</t>
        </is>
      </c>
      <c r="Z50" s="5" t="inlineStr">
        <is>
          <t>180/105</t>
        </is>
      </c>
      <c r="AA50" s="5" t="inlineStr">
        <is>
          <t>130/80</t>
        </is>
      </c>
      <c r="AB50" s="5" t="n">
        <v>11</v>
      </c>
      <c r="AC50" s="5" t="inlineStr">
        <is>
          <t>виражені інтерстиційні зміни біл в базально-латеральних сегментах</t>
        </is>
      </c>
      <c r="AD50" s="5" t="n">
        <v>123</v>
      </c>
      <c r="AE50" s="5" t="n">
        <v>111</v>
      </c>
      <c r="AF50" s="5" t="n">
        <v>29.2</v>
      </c>
      <c r="AG50" s="5" t="n">
        <v>16.1</v>
      </c>
      <c r="AH50" s="5" t="n">
        <v>3</v>
      </c>
      <c r="AI50" s="5" t="n">
        <v>20</v>
      </c>
      <c r="AJ50" s="5" t="n">
        <v>80</v>
      </c>
      <c r="AK50" s="5" t="n">
        <v>76</v>
      </c>
      <c r="AL50" s="5" t="n">
        <v>12</v>
      </c>
      <c r="AM50" s="5" t="n">
        <v>2</v>
      </c>
      <c r="AN50" s="5" t="n">
        <v>7</v>
      </c>
      <c r="AO50" s="5" t="n">
        <v>10</v>
      </c>
      <c r="AP50" s="5" t="n">
        <v>6</v>
      </c>
      <c r="AQ50" s="5" t="n">
        <v>6</v>
      </c>
      <c r="AU50" s="5" t="n">
        <v>839</v>
      </c>
      <c r="AV50" s="5" t="n">
        <v>531</v>
      </c>
      <c r="AX50" s="12" t="inlineStr">
        <is>
          <t>0.1</t>
        </is>
      </c>
      <c r="AY50" s="5" t="n">
        <v>47</v>
      </c>
      <c r="AZ50" s="5" t="n">
        <v>36</v>
      </c>
      <c r="BA50" s="5" t="n">
        <v>16.1</v>
      </c>
      <c r="BB50" s="5" t="n">
        <v>17.4</v>
      </c>
      <c r="BC50" s="5" t="n">
        <v>3.26</v>
      </c>
      <c r="BD50" s="5" t="n">
        <v>2.52</v>
      </c>
      <c r="BE50" s="5" t="n">
        <v>1.5</v>
      </c>
      <c r="BF50" s="5" t="n">
        <v>1.8</v>
      </c>
      <c r="BG50" s="5" t="n">
        <v>53</v>
      </c>
      <c r="BH50" s="5" t="n">
        <v>58</v>
      </c>
      <c r="BI50" s="5" t="n">
        <v>3.4</v>
      </c>
      <c r="BJ50" s="5" t="n">
        <v>7.1</v>
      </c>
      <c r="BK50" s="5" t="n">
        <v>70</v>
      </c>
      <c r="BL50" s="5" t="n">
        <v>100</v>
      </c>
      <c r="BM50" s="5" t="n">
        <v>13.6</v>
      </c>
      <c r="BN50" s="5" t="n">
        <v>17</v>
      </c>
      <c r="BO50" s="5" t="n">
        <v>3.4</v>
      </c>
      <c r="BP50" s="5" t="n">
        <v>5.1</v>
      </c>
      <c r="BQ50" s="5" t="n">
        <v>10.2</v>
      </c>
      <c r="BR50" s="5" t="n">
        <v>11.9</v>
      </c>
      <c r="BS50" s="5" t="n">
        <v>67.5</v>
      </c>
      <c r="BT50" s="5" t="n">
        <v>60.3</v>
      </c>
      <c r="BU50" s="5" t="n">
        <v>24.11</v>
      </c>
      <c r="BV50" s="5" t="n">
        <v>66.40000000000001</v>
      </c>
      <c r="BW50" s="5" t="n">
        <v>5.7</v>
      </c>
      <c r="BX50" s="5" t="n">
        <v>9.4</v>
      </c>
    </row>
    <row r="51" customFormat="1" s="5">
      <c r="A51" s="5" t="n">
        <v>1</v>
      </c>
      <c r="B51" s="5" t="n">
        <v>75</v>
      </c>
      <c r="C51" s="5" t="inlineStr">
        <is>
          <t>Перепелюк Богдан Романович</t>
        </is>
      </c>
      <c r="D51" s="5" t="n">
        <v>78</v>
      </c>
      <c r="E51" s="5" t="inlineStr">
        <is>
          <t>ч</t>
        </is>
      </c>
      <c r="F51" s="5" t="inlineStr">
        <is>
          <t>дружина Надія0964985568</t>
        </is>
      </c>
      <c r="G51" s="5" t="inlineStr">
        <is>
          <t>Негосп дв полісегм пнев 4 кл група</t>
        </is>
      </c>
      <c r="H51" s="5" t="inlineStr">
        <is>
          <t>важкий</t>
        </is>
      </c>
      <c r="I51" s="5" t="inlineStr">
        <is>
          <t>ІІ-ІІІ</t>
        </is>
      </c>
      <c r="J51" s="5" t="inlineStr">
        <is>
          <t>Гострий респіраторний дистрес синдром. Гостра серц-леген недос .Гостра емфізема легень.Токсико-інфекційний шок</t>
        </is>
      </c>
      <c r="K51" s="5" t="inlineStr">
        <is>
          <t>ІХС ДК ГХст3</t>
        </is>
      </c>
      <c r="O51" s="5" t="n">
        <v>86</v>
      </c>
      <c r="P51" s="5" t="n">
        <v>96</v>
      </c>
      <c r="R51" s="5" t="n">
        <v>3</v>
      </c>
      <c r="S51" s="6" t="n">
        <v>44653</v>
      </c>
      <c r="T51" s="6" t="n">
        <v>44656</v>
      </c>
      <c r="U51" s="5" t="n">
        <v>3</v>
      </c>
      <c r="V51" s="6" t="n">
        <v>44656</v>
      </c>
      <c r="W51" s="5" t="inlineStr">
        <is>
          <t>5днів до госпіт</t>
        </is>
      </c>
      <c r="Z51" s="5" t="inlineStr">
        <is>
          <t>180/110</t>
        </is>
      </c>
      <c r="AA51" s="5" t="inlineStr">
        <is>
          <t>160/100</t>
        </is>
      </c>
      <c r="AB51" s="5" t="n">
        <v>3</v>
      </c>
      <c r="AC51" s="9" t="inlineStr">
        <is>
          <t xml:space="preserve">                                             даних немає</t>
        </is>
      </c>
      <c r="AD51" s="16" t="inlineStr">
        <is>
          <t>даних</t>
        </is>
      </c>
      <c r="AE51" s="16" t="inlineStr">
        <is>
          <t>немає</t>
        </is>
      </c>
      <c r="BK51" s="16" t="inlineStr">
        <is>
          <t>даних</t>
        </is>
      </c>
      <c r="BL51" s="16" t="inlineStr">
        <is>
          <t>немає</t>
        </is>
      </c>
    </row>
    <row r="52" customFormat="1" s="5">
      <c r="A52" s="5" t="n">
        <v>1</v>
      </c>
      <c r="B52" s="5" t="n">
        <v>1803</v>
      </c>
      <c r="C52" s="5" t="inlineStr">
        <is>
          <t>Яворськийа Софія Іванівна</t>
        </is>
      </c>
      <c r="D52" s="5" t="n">
        <v>71</v>
      </c>
      <c r="E52" s="5" t="inlineStr">
        <is>
          <t>ж</t>
        </is>
      </c>
      <c r="F52" s="5" t="inlineStr">
        <is>
          <t>дочка Людмила 0503327967</t>
        </is>
      </c>
      <c r="G52" s="5" t="inlineStr">
        <is>
          <t>Негосп дв полісегм пнев 4 кл група</t>
        </is>
      </c>
      <c r="H52" s="5" t="inlineStr">
        <is>
          <t>важкий</t>
        </is>
      </c>
      <c r="I52" s="5" t="inlineStr">
        <is>
          <t>ІІ-ІІІ</t>
        </is>
      </c>
      <c r="J52" s="5" t="inlineStr">
        <is>
          <t>Гострий респіраторний дистрес синдром. Гостра серц-леген недос .Гостра емфізема легень.Токсико-інфекційний шок.Гепатит</t>
        </is>
      </c>
      <c r="K52" s="5" t="inlineStr">
        <is>
          <t>ІХС ДК ГХст2</t>
        </is>
      </c>
      <c r="O52" s="5" t="n">
        <v>88</v>
      </c>
      <c r="P52" s="5" t="n">
        <v>94</v>
      </c>
      <c r="R52" s="5" t="n">
        <v>6</v>
      </c>
      <c r="S52" s="6" t="n">
        <v>44652</v>
      </c>
      <c r="T52" s="6" t="n">
        <v>44657</v>
      </c>
      <c r="U52" s="5" t="n">
        <v>5</v>
      </c>
      <c r="V52" s="6" t="n">
        <v>44658</v>
      </c>
      <c r="W52" s="5" t="inlineStr">
        <is>
          <t>4дні до госп</t>
        </is>
      </c>
      <c r="Z52" s="5" t="inlineStr">
        <is>
          <t>140/80</t>
        </is>
      </c>
      <c r="AA52" s="5" t="inlineStr">
        <is>
          <t>130/80</t>
        </is>
      </c>
      <c r="AB52" s="5" t="n">
        <v>5</v>
      </c>
      <c r="AC52" s="9" t="inlineStr">
        <is>
          <t xml:space="preserve">                                              даних немає</t>
        </is>
      </c>
      <c r="AD52" s="5" t="n">
        <v>184</v>
      </c>
      <c r="AE52" s="5" t="n">
        <v>190</v>
      </c>
      <c r="AF52" s="5" t="n">
        <v>7.7</v>
      </c>
      <c r="AG52" s="5" t="n">
        <v>25.9</v>
      </c>
      <c r="AH52" s="5" t="n">
        <v>13</v>
      </c>
      <c r="AI52" s="5" t="n">
        <v>2</v>
      </c>
      <c r="AJ52" s="5" t="n">
        <v>71</v>
      </c>
      <c r="AK52" s="5" t="n">
        <v>76</v>
      </c>
      <c r="AL52" s="5" t="n">
        <v>11</v>
      </c>
      <c r="AM52" s="5" t="n">
        <v>5</v>
      </c>
      <c r="AN52" s="5" t="n">
        <v>17</v>
      </c>
      <c r="AO52" s="5" t="n">
        <v>1</v>
      </c>
      <c r="AP52" s="5" t="n">
        <v>12</v>
      </c>
      <c r="AY52" s="5" t="n">
        <v>48.3</v>
      </c>
      <c r="AZ52" s="12" t="inlineStr">
        <is>
          <t>56.2</t>
        </is>
      </c>
      <c r="BA52" s="5" t="n">
        <v>17.3</v>
      </c>
      <c r="BB52" s="8" t="n"/>
      <c r="BC52" s="5" t="n">
        <v>0.33</v>
      </c>
      <c r="BD52" s="8" t="n"/>
      <c r="BE52" s="5" t="n">
        <v>1.61</v>
      </c>
      <c r="BG52" s="5" t="n">
        <v>74</v>
      </c>
      <c r="BI52" s="5" t="n">
        <v>8.9</v>
      </c>
      <c r="BJ52" s="5" t="n">
        <v>116</v>
      </c>
      <c r="BW52" s="5" t="n">
        <v>12</v>
      </c>
      <c r="BY52" s="5" t="inlineStr">
        <is>
          <t>Часті маткові кровотечі</t>
        </is>
      </c>
    </row>
    <row r="53" customFormat="1" s="5">
      <c r="A53" s="5" t="n">
        <v>1</v>
      </c>
      <c r="B53" s="5" t="n">
        <v>416</v>
      </c>
      <c r="C53" s="5" t="inlineStr">
        <is>
          <t>Данилюка Ольга Андріївна</t>
        </is>
      </c>
      <c r="D53" s="5" t="n">
        <v>75</v>
      </c>
      <c r="E53" s="5" t="inlineStr">
        <is>
          <t>ж</t>
        </is>
      </c>
      <c r="F53" s="5" t="inlineStr">
        <is>
          <t>невістка Ганна0965816354</t>
        </is>
      </c>
      <c r="G53" s="5" t="inlineStr">
        <is>
          <t>Негосп дв полісегм пнев 4 кл група</t>
        </is>
      </c>
      <c r="H53" s="5" t="inlineStr">
        <is>
          <t>важкий</t>
        </is>
      </c>
      <c r="I53" s="5" t="inlineStr">
        <is>
          <t>ІІ-ІІІ</t>
        </is>
      </c>
      <c r="J53" s="5" t="inlineStr">
        <is>
          <t>Гострий респіраторний дистрес синдром. Гостра серц-леген недос .Гостра емфізема легень.</t>
        </is>
      </c>
      <c r="K53" s="5" t="inlineStr">
        <is>
          <t>ІХС ДК ГХст2</t>
        </is>
      </c>
      <c r="O53" s="5" t="n">
        <v>80</v>
      </c>
      <c r="P53" s="5" t="n">
        <v>97</v>
      </c>
      <c r="R53" s="5" t="n">
        <v>3</v>
      </c>
      <c r="S53" s="6" t="n">
        <v>44675</v>
      </c>
      <c r="T53" s="6" t="n">
        <v>44678</v>
      </c>
      <c r="U53" s="5" t="n">
        <v>3</v>
      </c>
      <c r="V53" s="6" t="n">
        <v>44678</v>
      </c>
      <c r="Y53" s="5" t="inlineStr">
        <is>
          <t>3дні в стац</t>
        </is>
      </c>
      <c r="Z53" s="5" t="inlineStr">
        <is>
          <t>140/80</t>
        </is>
      </c>
      <c r="AA53" s="5" t="inlineStr">
        <is>
          <t>130/80</t>
        </is>
      </c>
      <c r="AB53" s="5" t="n">
        <v>3</v>
      </c>
      <c r="AC53" s="5" t="inlineStr">
        <is>
          <t>виражені інтерстиційні зміни біл в базально-латеральних сегментах</t>
        </is>
      </c>
      <c r="AD53" s="5" t="n">
        <v>131</v>
      </c>
      <c r="AF53" s="5" t="n">
        <v>11.7</v>
      </c>
      <c r="AH53" s="5" t="n">
        <v>20</v>
      </c>
      <c r="AJ53" s="5" t="n">
        <v>72</v>
      </c>
      <c r="AL53" s="5" t="n">
        <v>5</v>
      </c>
      <c r="AN53" s="5" t="n">
        <v>52</v>
      </c>
      <c r="AP53" s="5" t="n">
        <v>6</v>
      </c>
      <c r="AU53" s="5" t="n">
        <v>206</v>
      </c>
      <c r="AY53" s="5" t="n">
        <v>33</v>
      </c>
      <c r="BA53" s="5" t="n">
        <v>9.6</v>
      </c>
      <c r="BC53" s="5" t="n">
        <v>4.77</v>
      </c>
      <c r="BE53" s="5" t="n">
        <v>0.95</v>
      </c>
      <c r="BG53" s="5" t="n">
        <v>68</v>
      </c>
      <c r="BI53" s="5" t="n">
        <v>11.9</v>
      </c>
      <c r="BK53" s="5" t="n">
        <v>178</v>
      </c>
      <c r="BM53" s="5" t="n">
        <v>17</v>
      </c>
      <c r="BO53" s="5" t="n">
        <v>5.1</v>
      </c>
      <c r="BQ53" s="5" t="n">
        <v>11.8</v>
      </c>
      <c r="BS53" s="5" t="n">
        <v>52.4</v>
      </c>
      <c r="BU53" s="5" t="n">
        <v>24.1</v>
      </c>
      <c r="BW53" s="5" t="n">
        <v>9</v>
      </c>
    </row>
    <row r="54">
      <c r="A54" s="10" t="n">
        <v>2</v>
      </c>
      <c r="B54" t="n">
        <v>1416</v>
      </c>
      <c r="C54" t="inlineStr">
        <is>
          <t xml:space="preserve">Руснак Олександр Павлович </t>
        </is>
      </c>
      <c r="D54" t="n">
        <v>67</v>
      </c>
      <c r="E54" t="inlineStr">
        <is>
          <t>чол</t>
        </is>
      </c>
      <c r="F54" t="n">
        <v>677611387</v>
      </c>
      <c r="G54" t="inlineStr">
        <is>
          <t>НГ дв. Полісег пневмонія 3 кл.гр</t>
        </is>
      </c>
      <c r="H54" t="inlineStr">
        <is>
          <t>серед важ</t>
        </is>
      </c>
      <c r="I54" t="inlineStr">
        <is>
          <t>ІІ</t>
        </is>
      </c>
      <c r="K54" t="inlineStr">
        <is>
          <t>ІХС.ДК. ГХ ІІ</t>
        </is>
      </c>
      <c r="L54" t="inlineStr">
        <is>
          <t>25-35 %</t>
        </is>
      </c>
      <c r="M54" t="inlineStr">
        <is>
          <t>середній</t>
        </is>
      </c>
      <c r="O54" t="n">
        <v>94</v>
      </c>
      <c r="Q54" t="n">
        <v>97</v>
      </c>
      <c r="R54" t="n">
        <v>5</v>
      </c>
      <c r="S54" s="2" t="n">
        <v>44436</v>
      </c>
      <c r="T54" s="2" t="n">
        <v>44446</v>
      </c>
      <c r="U54" t="n">
        <v>10</v>
      </c>
      <c r="W54" t="n">
        <v>3</v>
      </c>
      <c r="X54" t="n">
        <v>2</v>
      </c>
      <c r="Z54" t="inlineStr">
        <is>
          <t>150/100</t>
        </is>
      </c>
      <c r="AA54" t="inlineStr">
        <is>
          <t>140/100</t>
        </is>
      </c>
      <c r="AC54" t="inlineStr">
        <is>
          <t>Ro ОГК фіброзні зміни в н/в</t>
        </is>
      </c>
      <c r="AD54" t="n">
        <v>152</v>
      </c>
      <c r="AE54" t="n">
        <v>156</v>
      </c>
      <c r="AF54" t="n">
        <v>17.1</v>
      </c>
      <c r="AG54" t="n">
        <v>13.1</v>
      </c>
      <c r="AH54" t="n">
        <v>16</v>
      </c>
      <c r="AI54" t="n">
        <v>13</v>
      </c>
      <c r="AJ54" t="n">
        <v>74</v>
      </c>
      <c r="AK54" t="n">
        <v>80</v>
      </c>
      <c r="AL54" t="n">
        <v>9</v>
      </c>
      <c r="AM54" t="n">
        <v>4</v>
      </c>
      <c r="AN54" t="n">
        <v>8</v>
      </c>
      <c r="AO54" t="n">
        <v>3</v>
      </c>
      <c r="AP54" t="n">
        <v>6</v>
      </c>
      <c r="AQ54" t="n">
        <v>5</v>
      </c>
      <c r="AY54" t="n">
        <v>44</v>
      </c>
      <c r="AZ54" t="n">
        <v>57</v>
      </c>
      <c r="BA54" t="n">
        <v>22</v>
      </c>
      <c r="BB54" t="n">
        <v>23</v>
      </c>
      <c r="BC54" t="n">
        <v>4.6</v>
      </c>
      <c r="BD54" t="n">
        <v>3.6</v>
      </c>
      <c r="BG54" t="n">
        <v>70</v>
      </c>
      <c r="BH54" t="n">
        <v>68</v>
      </c>
      <c r="BI54" t="n">
        <v>13</v>
      </c>
      <c r="BJ54" t="n">
        <v>10</v>
      </c>
      <c r="BK54" t="n">
        <v>187</v>
      </c>
      <c r="BL54" t="n">
        <v>127</v>
      </c>
      <c r="BM54" t="n">
        <v>13.6</v>
      </c>
      <c r="BN54" t="n">
        <v>15.3</v>
      </c>
      <c r="BO54" t="n">
        <v>3.4</v>
      </c>
      <c r="BP54" t="n">
        <v>5.1</v>
      </c>
      <c r="BQ54" t="n">
        <v>10.2</v>
      </c>
      <c r="BR54" t="n">
        <v>10.3</v>
      </c>
      <c r="BS54" t="n">
        <v>2.3</v>
      </c>
      <c r="BT54" t="n">
        <v>2.9</v>
      </c>
      <c r="BU54" t="n">
        <v>2.4</v>
      </c>
      <c r="BV54" t="n">
        <v>2.8</v>
      </c>
      <c r="BW54" t="n">
        <v>7</v>
      </c>
      <c r="BX54" t="n">
        <v>6</v>
      </c>
      <c r="BY54" t="inlineStr">
        <is>
          <t>носові кровотечі</t>
        </is>
      </c>
    </row>
    <row r="55">
      <c r="A55" s="10" t="n">
        <v>2</v>
      </c>
      <c r="B55" t="inlineStr">
        <is>
          <t>1858/496</t>
        </is>
      </c>
      <c r="C55" t="inlineStr">
        <is>
          <t>Харитонюка Катерина Богданівна</t>
        </is>
      </c>
      <c r="D55" t="n">
        <v>72</v>
      </c>
      <c r="E55" t="inlineStr">
        <is>
          <t>жін</t>
        </is>
      </c>
      <c r="F55" t="inlineStr">
        <is>
          <t>0671076177 дочка Дарина</t>
        </is>
      </c>
      <c r="G55" t="inlineStr">
        <is>
          <t>НГ дв. Полісег пневмонія 4кл гр.</t>
        </is>
      </c>
      <c r="H55" t="inlineStr">
        <is>
          <t xml:space="preserve">вкрай важкий </t>
        </is>
      </c>
      <c r="I55" t="inlineStr">
        <is>
          <t>ІІ-ІІІ</t>
        </is>
      </c>
      <c r="K55" t="inlineStr">
        <is>
          <t>ІХС.ДК. ГХ ІІІ. Гіпотериоз</t>
        </is>
      </c>
      <c r="L55" s="4" t="n">
        <v>0.8</v>
      </c>
      <c r="M55" t="inlineStr">
        <is>
          <t xml:space="preserve">вкрай важкий </t>
        </is>
      </c>
      <c r="O55" t="n">
        <v>81</v>
      </c>
      <c r="P55" t="n">
        <v>94</v>
      </c>
      <c r="Q55" t="n">
        <v>92</v>
      </c>
      <c r="R55" t="n">
        <v>9</v>
      </c>
      <c r="S55" s="2" t="n">
        <v>44252</v>
      </c>
      <c r="T55" s="2" t="n">
        <v>44446</v>
      </c>
      <c r="U55" t="n">
        <v>12</v>
      </c>
      <c r="W55" t="n">
        <v>4</v>
      </c>
      <c r="X55" t="n">
        <v>3</v>
      </c>
      <c r="Y55" t="n">
        <v>2</v>
      </c>
      <c r="Z55" t="inlineStr">
        <is>
          <t>180/120</t>
        </is>
      </c>
      <c r="AA55" t="inlineStr">
        <is>
          <t>150/100</t>
        </is>
      </c>
      <c r="AB55" t="n">
        <v>10</v>
      </c>
      <c r="AC55" t="inlineStr">
        <is>
          <t>пристінковий випіт  справа 10 мм</t>
        </is>
      </c>
      <c r="AD55" t="n">
        <v>160</v>
      </c>
      <c r="AE55" t="n">
        <v>142</v>
      </c>
      <c r="AF55" t="n">
        <v>4.8</v>
      </c>
      <c r="AG55" t="n">
        <v>8.6</v>
      </c>
      <c r="AH55" t="n">
        <v>6</v>
      </c>
      <c r="AI55" t="n">
        <v>7</v>
      </c>
      <c r="AJ55" t="n">
        <v>80</v>
      </c>
      <c r="AK55" t="n">
        <v>32</v>
      </c>
      <c r="AL55" t="n">
        <v>13</v>
      </c>
      <c r="AM55" t="n">
        <v>27</v>
      </c>
      <c r="AN55" t="n">
        <v>7</v>
      </c>
      <c r="AO55" t="n">
        <v>26</v>
      </c>
      <c r="AP55" t="n">
        <v>15</v>
      </c>
      <c r="AQ55" t="n">
        <v>8</v>
      </c>
      <c r="AY55" t="n">
        <v>46</v>
      </c>
      <c r="AZ55" t="n">
        <v>40</v>
      </c>
      <c r="BA55" t="n">
        <v>24</v>
      </c>
      <c r="BB55" t="n">
        <v>25</v>
      </c>
      <c r="BC55" t="n">
        <v>6</v>
      </c>
      <c r="BD55" t="n">
        <v>4.6</v>
      </c>
      <c r="BG55" t="n">
        <v>70</v>
      </c>
      <c r="BH55" t="n">
        <v>74</v>
      </c>
      <c r="BI55" t="n">
        <v>4.7</v>
      </c>
      <c r="BJ55" t="n">
        <v>10</v>
      </c>
      <c r="BK55" t="n">
        <v>70</v>
      </c>
      <c r="BL55" t="n">
        <v>127</v>
      </c>
      <c r="BM55" t="n">
        <v>13.6</v>
      </c>
      <c r="BN55" t="n">
        <v>22.1</v>
      </c>
      <c r="BO55" t="n">
        <v>3.4</v>
      </c>
      <c r="BP55" t="n">
        <v>4</v>
      </c>
      <c r="BQ55" t="n">
        <v>10</v>
      </c>
      <c r="BR55" t="n">
        <v>10</v>
      </c>
      <c r="BS55" t="n">
        <v>2.4</v>
      </c>
      <c r="BT55" t="n">
        <v>2.8</v>
      </c>
      <c r="BU55" t="n">
        <v>2.3</v>
      </c>
      <c r="BV55" t="n">
        <v>2.7</v>
      </c>
      <c r="BW55" t="n">
        <v>4</v>
      </c>
      <c r="BX55" t="n">
        <v>4</v>
      </c>
      <c r="BY55" t="inlineStr">
        <is>
          <t>Поліалергетик</t>
        </is>
      </c>
    </row>
    <row r="56">
      <c r="A56" s="10" t="n">
        <v>2</v>
      </c>
      <c r="B56" t="inlineStr">
        <is>
          <t>3260/324</t>
        </is>
      </c>
      <c r="C56" t="inlineStr">
        <is>
          <t>Ковалик Володимир Андрійович</t>
        </is>
      </c>
      <c r="D56" t="n">
        <v>71</v>
      </c>
      <c r="E56" t="inlineStr">
        <is>
          <t>чол</t>
        </is>
      </c>
      <c r="F56" t="inlineStr">
        <is>
          <t>син 0951520299</t>
        </is>
      </c>
      <c r="G56" t="inlineStr">
        <is>
          <t>НГ дв. Полісег пневмонія 4 кл.гр</t>
        </is>
      </c>
      <c r="H56" t="inlineStr">
        <is>
          <t>важкий</t>
        </is>
      </c>
      <c r="I56" t="inlineStr">
        <is>
          <t>ІІІ</t>
        </is>
      </c>
      <c r="K56" t="inlineStr">
        <is>
          <t>ІХС.ДК. ГХ ІІ</t>
        </is>
      </c>
      <c r="L56" s="4" t="n">
        <v>0.7</v>
      </c>
      <c r="M56" t="inlineStr">
        <is>
          <t xml:space="preserve">вкрай важкий </t>
        </is>
      </c>
      <c r="O56" t="n">
        <v>83</v>
      </c>
      <c r="P56" t="n">
        <v>95</v>
      </c>
      <c r="Q56" t="n">
        <v>96</v>
      </c>
      <c r="R56" t="n">
        <v>8</v>
      </c>
      <c r="S56" s="2" t="n">
        <v>44440</v>
      </c>
      <c r="T56" s="2" t="n">
        <v>44450</v>
      </c>
      <c r="U56" t="n">
        <v>10</v>
      </c>
      <c r="W56" t="n">
        <v>3</v>
      </c>
      <c r="X56" t="n">
        <v>3</v>
      </c>
      <c r="Z56" t="inlineStr">
        <is>
          <t>160/100</t>
        </is>
      </c>
      <c r="AA56" t="inlineStr">
        <is>
          <t>130/80</t>
        </is>
      </c>
      <c r="AB56" t="n">
        <v>7</v>
      </c>
      <c r="AC56" t="inlineStr">
        <is>
          <t>Ro ОГК форм.базального фіброзу</t>
        </is>
      </c>
      <c r="AD56" t="n">
        <v>161</v>
      </c>
      <c r="AE56" t="n">
        <v>137</v>
      </c>
      <c r="AF56" t="n">
        <v>4</v>
      </c>
      <c r="AG56" t="n">
        <v>5.5</v>
      </c>
      <c r="AH56" t="n">
        <v>17</v>
      </c>
      <c r="AI56" t="n">
        <v>2</v>
      </c>
      <c r="AJ56" t="n">
        <v>63</v>
      </c>
      <c r="AK56" t="n">
        <v>86</v>
      </c>
      <c r="AL56" t="n">
        <v>18</v>
      </c>
      <c r="AM56" t="n">
        <v>11</v>
      </c>
      <c r="AN56" t="n">
        <v>20</v>
      </c>
      <c r="AO56" t="n">
        <v>11</v>
      </c>
      <c r="AY56" t="n">
        <v>44</v>
      </c>
      <c r="AZ56" t="n">
        <v>48</v>
      </c>
      <c r="BA56" t="n">
        <v>21</v>
      </c>
      <c r="BB56" t="n">
        <v>20</v>
      </c>
      <c r="BC56" t="n">
        <v>8</v>
      </c>
      <c r="BD56" t="n">
        <v>4.6</v>
      </c>
      <c r="BG56" t="n">
        <v>62</v>
      </c>
      <c r="BH56" t="n">
        <v>58</v>
      </c>
      <c r="BI56" t="n">
        <v>13</v>
      </c>
      <c r="BJ56" t="n">
        <v>9.4</v>
      </c>
      <c r="BK56" t="n">
        <v>157</v>
      </c>
      <c r="BL56" t="n">
        <v>121</v>
      </c>
      <c r="BM56" t="n">
        <v>17</v>
      </c>
      <c r="BN56" t="n">
        <v>17.1</v>
      </c>
      <c r="BO56" t="n">
        <v>5.3</v>
      </c>
      <c r="BP56" t="n">
        <v>4.5</v>
      </c>
      <c r="BQ56" t="n">
        <v>11.2</v>
      </c>
      <c r="BR56" t="n">
        <v>10.5</v>
      </c>
      <c r="BS56" t="n">
        <v>2.9</v>
      </c>
      <c r="BT56" t="n">
        <v>1.2</v>
      </c>
      <c r="BU56" t="n">
        <v>2.8</v>
      </c>
      <c r="BV56" t="n">
        <v>1</v>
      </c>
      <c r="BW56" t="n">
        <v>5.6</v>
      </c>
      <c r="BX56" t="n">
        <v>8.1</v>
      </c>
    </row>
    <row r="57">
      <c r="A57" s="10" t="n">
        <v>2</v>
      </c>
      <c r="B57" t="inlineStr">
        <is>
          <t>1102/336</t>
        </is>
      </c>
      <c r="C57" t="inlineStr">
        <is>
          <t>Андрусяка Софія Романівна</t>
        </is>
      </c>
      <c r="D57" t="n">
        <v>59</v>
      </c>
      <c r="E57" t="inlineStr">
        <is>
          <t>жін</t>
        </is>
      </c>
      <c r="F57" t="n">
        <v>503516199</v>
      </c>
      <c r="G57" t="inlineStr">
        <is>
          <t>НГ дв. Полісег пневмонія 3 кл.гр</t>
        </is>
      </c>
      <c r="H57" t="inlineStr">
        <is>
          <t>серед важ</t>
        </is>
      </c>
      <c r="I57" t="inlineStr">
        <is>
          <t>І</t>
        </is>
      </c>
      <c r="K57" t="inlineStr">
        <is>
          <t xml:space="preserve">ІХС.ДК. Шл екстрасит </t>
        </is>
      </c>
      <c r="L57" s="4" t="n">
        <v>0.25</v>
      </c>
      <c r="M57" t="inlineStr">
        <is>
          <t>середній</t>
        </is>
      </c>
      <c r="O57" t="n">
        <v>95</v>
      </c>
      <c r="Q57" t="n">
        <v>97</v>
      </c>
      <c r="R57" t="n">
        <v>6</v>
      </c>
      <c r="S57" s="2" t="n">
        <v>44444</v>
      </c>
      <c r="T57" s="2" t="n">
        <v>44454</v>
      </c>
      <c r="U57" t="n">
        <v>10</v>
      </c>
      <c r="W57" t="n">
        <v>2</v>
      </c>
      <c r="X57" t="n">
        <v>3</v>
      </c>
      <c r="Z57" t="inlineStr">
        <is>
          <t>110/70</t>
        </is>
      </c>
      <c r="AA57" t="inlineStr">
        <is>
          <t>100/60</t>
        </is>
      </c>
      <c r="AC57" t="inlineStr">
        <is>
          <t>Ro ОГК перенесеного запалення легень</t>
        </is>
      </c>
      <c r="AD57" t="n">
        <v>153</v>
      </c>
      <c r="AE57" t="n">
        <v>142</v>
      </c>
      <c r="AF57" t="n">
        <v>5.1</v>
      </c>
      <c r="AG57" t="n">
        <v>6.9</v>
      </c>
      <c r="AH57" t="n">
        <v>14</v>
      </c>
      <c r="AI57" t="n">
        <v>1</v>
      </c>
      <c r="AJ57" t="n">
        <v>58</v>
      </c>
      <c r="AK57" t="n">
        <v>67</v>
      </c>
      <c r="AL57" t="n">
        <v>25</v>
      </c>
      <c r="AM57" t="n">
        <v>28</v>
      </c>
      <c r="AN57" t="n">
        <v>27</v>
      </c>
      <c r="AO57" t="n">
        <v>8</v>
      </c>
      <c r="AY57" t="n">
        <v>44</v>
      </c>
      <c r="AZ57" t="n">
        <v>50</v>
      </c>
      <c r="BA57" t="n">
        <v>18</v>
      </c>
      <c r="BB57" t="n">
        <v>15</v>
      </c>
      <c r="BC57" t="n">
        <v>7.7</v>
      </c>
      <c r="BD57" t="n">
        <v>4.3</v>
      </c>
      <c r="BG57" t="n">
        <v>58</v>
      </c>
      <c r="BH57" t="n">
        <v>62</v>
      </c>
      <c r="BI57" t="n">
        <v>4</v>
      </c>
      <c r="BK57" t="n">
        <v>67</v>
      </c>
      <c r="BM57" t="n">
        <v>13.6</v>
      </c>
      <c r="BN57" t="n">
        <v>11.9</v>
      </c>
      <c r="BO57" t="n">
        <v>3.4</v>
      </c>
      <c r="BP57" t="n">
        <v>3.4</v>
      </c>
      <c r="BQ57" t="n">
        <v>10.2</v>
      </c>
      <c r="BR57" t="n">
        <v>8.5</v>
      </c>
      <c r="BS57" t="n">
        <v>2.6</v>
      </c>
      <c r="BT57" t="n">
        <v>0.8</v>
      </c>
      <c r="BU57" t="n">
        <v>2.5</v>
      </c>
      <c r="BV57" t="n">
        <v>0.4</v>
      </c>
      <c r="BW57" t="n">
        <v>6.8</v>
      </c>
      <c r="BX57" t="n">
        <v>5.8</v>
      </c>
      <c r="BY57" t="inlineStr">
        <is>
          <t xml:space="preserve">Часта втрата свідомості </t>
        </is>
      </c>
    </row>
    <row r="58">
      <c r="A58" s="10" t="n">
        <v>2</v>
      </c>
      <c r="B58" t="inlineStr">
        <is>
          <t>1056/44</t>
        </is>
      </c>
      <c r="C58" t="inlineStr">
        <is>
          <t xml:space="preserve">Шпак Віктор Сергійович </t>
        </is>
      </c>
      <c r="D58" t="n">
        <v>58</v>
      </c>
      <c r="E58" t="inlineStr">
        <is>
          <t>чол</t>
        </is>
      </c>
      <c r="F58" t="n">
        <v>964398286</v>
      </c>
      <c r="G58" t="inlineStr">
        <is>
          <t>НГ дв. Полісег пневмонія 3 кл.гр</t>
        </is>
      </c>
      <c r="H58" t="inlineStr">
        <is>
          <t>серед важ</t>
        </is>
      </c>
      <c r="I58" t="inlineStr">
        <is>
          <t>І</t>
        </is>
      </c>
      <c r="K58" t="inlineStr">
        <is>
          <t>ІХС.ДК. ХОЗЛ</t>
        </is>
      </c>
      <c r="L58" s="4" t="n">
        <v>0.25</v>
      </c>
      <c r="M58" t="inlineStr">
        <is>
          <t>середній</t>
        </is>
      </c>
      <c r="O58" t="n">
        <v>94</v>
      </c>
      <c r="Q58" t="n">
        <v>96</v>
      </c>
      <c r="R58" t="n">
        <v>10</v>
      </c>
      <c r="S58" s="2" t="n">
        <v>44444</v>
      </c>
      <c r="T58" s="2" t="n">
        <v>44454</v>
      </c>
      <c r="U58" t="n">
        <v>10</v>
      </c>
      <c r="X58" t="n">
        <v>4</v>
      </c>
      <c r="Y58" t="n">
        <v>2</v>
      </c>
      <c r="Z58" t="inlineStr">
        <is>
          <t>130/80</t>
        </is>
      </c>
      <c r="AA58" t="inlineStr">
        <is>
          <t>110/70</t>
        </is>
      </c>
      <c r="AC58" t="inlineStr">
        <is>
          <t>Ro ОГК форм.базального фіброзу</t>
        </is>
      </c>
      <c r="AD58" t="n">
        <v>139</v>
      </c>
      <c r="AE58" t="n">
        <v>100</v>
      </c>
      <c r="AF58" t="n">
        <v>7</v>
      </c>
      <c r="AG58" t="n">
        <v>6.8</v>
      </c>
      <c r="AH58" t="n">
        <v>8</v>
      </c>
      <c r="AI58" t="n">
        <v>6</v>
      </c>
      <c r="AJ58" t="n">
        <v>74</v>
      </c>
      <c r="AK58" t="n">
        <v>64</v>
      </c>
      <c r="AL58" t="n">
        <v>17</v>
      </c>
      <c r="AM58" t="n">
        <v>29</v>
      </c>
      <c r="AN58" t="n">
        <v>42</v>
      </c>
      <c r="AO58" t="n">
        <v>4</v>
      </c>
      <c r="AY58" t="n">
        <v>40</v>
      </c>
      <c r="AZ58" t="n">
        <v>46</v>
      </c>
      <c r="BA58" t="n">
        <v>19</v>
      </c>
      <c r="BB58" t="n">
        <v>17</v>
      </c>
      <c r="BC58" t="n">
        <v>4.6</v>
      </c>
      <c r="BD58" t="n">
        <v>3.55</v>
      </c>
      <c r="BG58" t="n">
        <v>70</v>
      </c>
      <c r="BH58" t="n">
        <v>72</v>
      </c>
      <c r="BI58" t="n">
        <v>4</v>
      </c>
      <c r="BK58" t="n">
        <v>67</v>
      </c>
      <c r="BM58" t="n">
        <v>17.1</v>
      </c>
      <c r="BN58" t="n">
        <v>15.3</v>
      </c>
      <c r="BO58" t="n">
        <v>6.8</v>
      </c>
      <c r="BP58" t="n">
        <v>5.1</v>
      </c>
      <c r="BQ58" t="n">
        <v>10.2</v>
      </c>
      <c r="BR58" t="n">
        <v>10.3</v>
      </c>
      <c r="BS58" t="n">
        <v>0.8</v>
      </c>
      <c r="BT58" t="n">
        <v>2.6</v>
      </c>
      <c r="BU58" t="n">
        <v>0.6</v>
      </c>
      <c r="BV58" t="n">
        <v>2.5</v>
      </c>
      <c r="BW58" t="n">
        <v>12.5</v>
      </c>
      <c r="BX58" t="n">
        <v>14</v>
      </c>
      <c r="BY58" t="inlineStr">
        <is>
          <t xml:space="preserve">ЦД вперше виявлений </t>
        </is>
      </c>
    </row>
    <row r="59">
      <c r="A59" s="10" t="n">
        <v>2</v>
      </c>
      <c r="B59" t="inlineStr">
        <is>
          <t>687/376</t>
        </is>
      </c>
      <c r="C59" t="inlineStr">
        <is>
          <t xml:space="preserve">Костюк Віктор Григорович </t>
        </is>
      </c>
      <c r="D59" t="n">
        <v>61</v>
      </c>
      <c r="E59" t="inlineStr">
        <is>
          <t>чол</t>
        </is>
      </c>
      <c r="F59" t="n">
        <v>967464397</v>
      </c>
      <c r="G59" t="inlineStr">
        <is>
          <t>НГ дв. Полісег пневмонія 3 кл.гр</t>
        </is>
      </c>
      <c r="H59" t="inlineStr">
        <is>
          <t>серед важ</t>
        </is>
      </c>
      <c r="I59" t="inlineStr">
        <is>
          <t>І-ІІ</t>
        </is>
      </c>
      <c r="K59" t="inlineStr">
        <is>
          <t>ІХС.Стенокардія напруги</t>
        </is>
      </c>
      <c r="L59" s="4" t="n">
        <v>0.3</v>
      </c>
      <c r="M59" t="inlineStr">
        <is>
          <t>середній</t>
        </is>
      </c>
      <c r="O59" t="n">
        <v>90</v>
      </c>
      <c r="Q59" t="n">
        <v>97</v>
      </c>
      <c r="R59" t="n">
        <v>7</v>
      </c>
      <c r="S59" s="2" t="n">
        <v>44440</v>
      </c>
      <c r="T59" s="2" t="n">
        <v>44450</v>
      </c>
      <c r="U59" t="n">
        <v>10</v>
      </c>
      <c r="W59" t="n">
        <v>3</v>
      </c>
      <c r="X59" t="n">
        <v>3</v>
      </c>
      <c r="Y59" t="n">
        <v>4</v>
      </c>
      <c r="Z59" t="inlineStr">
        <is>
          <t>160/100</t>
        </is>
      </c>
      <c r="AA59" t="inlineStr">
        <is>
          <t>140/80</t>
        </is>
      </c>
      <c r="AB59" t="n">
        <v>4</v>
      </c>
      <c r="AC59" t="inlineStr">
        <is>
          <t>Ro ОГК перенесеного запалення легень</t>
        </is>
      </c>
      <c r="AD59" t="n">
        <v>156</v>
      </c>
      <c r="AE59" t="n">
        <v>143</v>
      </c>
      <c r="AF59" t="n">
        <v>2.9</v>
      </c>
      <c r="AG59" t="n">
        <v>6.2</v>
      </c>
      <c r="AH59" t="n">
        <v>12</v>
      </c>
      <c r="AI59" t="n">
        <v>15</v>
      </c>
      <c r="AJ59" t="n">
        <v>62</v>
      </c>
      <c r="AK59" t="n">
        <v>65</v>
      </c>
      <c r="AL59" t="n">
        <v>22</v>
      </c>
      <c r="AM59" t="n">
        <v>15</v>
      </c>
      <c r="AN59" t="n">
        <v>22</v>
      </c>
      <c r="AO59" t="n">
        <v>45</v>
      </c>
      <c r="AY59" t="n">
        <v>46</v>
      </c>
      <c r="AZ59" t="n">
        <v>53</v>
      </c>
      <c r="BA59" t="n">
        <v>18</v>
      </c>
      <c r="BB59" t="n">
        <v>23</v>
      </c>
      <c r="BC59" t="n">
        <v>7.1</v>
      </c>
      <c r="BD59" t="n">
        <v>11.1</v>
      </c>
      <c r="BG59" t="n">
        <v>68</v>
      </c>
      <c r="BH59" t="n">
        <v>62</v>
      </c>
      <c r="BI59" t="n">
        <v>6.4</v>
      </c>
      <c r="BJ59" t="n">
        <v>4.9</v>
      </c>
      <c r="BK59" t="n">
        <v>92</v>
      </c>
      <c r="BL59" t="n">
        <v>76</v>
      </c>
      <c r="BM59" t="n">
        <v>30.6</v>
      </c>
      <c r="BN59" t="n">
        <v>13.6</v>
      </c>
      <c r="BO59" t="n">
        <v>3.5</v>
      </c>
      <c r="BP59" t="n">
        <v>3.4</v>
      </c>
      <c r="BQ59" t="n">
        <v>10.2</v>
      </c>
      <c r="BR59" t="n">
        <v>10.1</v>
      </c>
      <c r="BS59" t="n">
        <v>2.1</v>
      </c>
      <c r="BT59" t="n">
        <v>0.8</v>
      </c>
      <c r="BU59" t="n">
        <v>2</v>
      </c>
      <c r="BV59" t="n">
        <v>0.6</v>
      </c>
      <c r="BW59" t="n">
        <v>7.5</v>
      </c>
      <c r="BX59" t="n">
        <v>4.7</v>
      </c>
      <c r="BY59" t="inlineStr">
        <is>
          <t xml:space="preserve">2-Інфаркти, 2 стенти </t>
        </is>
      </c>
    </row>
    <row r="60">
      <c r="A60" s="10" t="n">
        <v>2</v>
      </c>
      <c r="B60" t="inlineStr">
        <is>
          <t>2456/355</t>
        </is>
      </c>
      <c r="C60" t="inlineStr">
        <is>
          <t xml:space="preserve">Заячук Тарас григорович </t>
        </is>
      </c>
      <c r="D60" t="n">
        <v>55</v>
      </c>
      <c r="E60" t="inlineStr">
        <is>
          <t>чол</t>
        </is>
      </c>
      <c r="F60" t="n">
        <v>634193039</v>
      </c>
      <c r="G60" t="inlineStr">
        <is>
          <t>НГ дв. Полісег пневмонія 3 кл.гр</t>
        </is>
      </c>
      <c r="H60" t="inlineStr">
        <is>
          <t>серед важ</t>
        </is>
      </c>
      <c r="I60" t="inlineStr">
        <is>
          <t>І-ІІ</t>
        </is>
      </c>
      <c r="K60" t="inlineStr">
        <is>
          <t xml:space="preserve">ІХС.ДК. </t>
        </is>
      </c>
      <c r="L60" s="4" t="n">
        <v>0.3</v>
      </c>
      <c r="M60" t="inlineStr">
        <is>
          <t>середній</t>
        </is>
      </c>
      <c r="O60" t="n">
        <v>89</v>
      </c>
      <c r="P60" t="n">
        <v>96</v>
      </c>
      <c r="Q60" t="n">
        <v>97</v>
      </c>
      <c r="R60" t="n">
        <v>8</v>
      </c>
      <c r="S60" s="2" t="n">
        <v>44516</v>
      </c>
      <c r="T60" s="2" t="n">
        <v>44531</v>
      </c>
      <c r="U60" t="n">
        <v>15</v>
      </c>
      <c r="W60" t="n">
        <v>3</v>
      </c>
      <c r="X60" t="n">
        <v>2</v>
      </c>
      <c r="Z60" t="inlineStr">
        <is>
          <t>150/100</t>
        </is>
      </c>
      <c r="AA60" t="inlineStr">
        <is>
          <t>140/90</t>
        </is>
      </c>
      <c r="AB60" t="n">
        <v>4</v>
      </c>
      <c r="AC60" t="inlineStr">
        <is>
          <t>Ro ОГК незначні фіброзні зміни</t>
        </is>
      </c>
      <c r="AD60" t="n">
        <v>172</v>
      </c>
      <c r="AE60" t="n">
        <v>144</v>
      </c>
      <c r="AF60" t="n">
        <v>6.3</v>
      </c>
      <c r="AG60" t="n">
        <v>8.699999999999999</v>
      </c>
      <c r="AH60" t="n">
        <v>9</v>
      </c>
      <c r="AI60" t="n">
        <v>15</v>
      </c>
      <c r="AJ60" t="n">
        <v>70</v>
      </c>
      <c r="AK60" t="n">
        <v>71</v>
      </c>
      <c r="AL60" t="n">
        <v>19</v>
      </c>
      <c r="AM60" t="n">
        <v>8</v>
      </c>
      <c r="AN60" t="n">
        <v>19</v>
      </c>
      <c r="AO60" t="n">
        <v>23</v>
      </c>
      <c r="AP60" t="n">
        <v>18</v>
      </c>
      <c r="AQ60" t="n">
        <v>12</v>
      </c>
      <c r="AR60" t="n">
        <v>29.3</v>
      </c>
      <c r="AS60" t="n">
        <v>11.2</v>
      </c>
      <c r="AU60" t="n">
        <v>358</v>
      </c>
      <c r="AV60" t="n">
        <v>210</v>
      </c>
      <c r="AX60" t="n">
        <v>0.138</v>
      </c>
      <c r="AY60" t="n">
        <v>48</v>
      </c>
      <c r="AZ60" t="n">
        <v>52</v>
      </c>
      <c r="BA60" t="n">
        <v>11.8</v>
      </c>
      <c r="BB60" t="n">
        <v>13.3</v>
      </c>
      <c r="BC60" t="n">
        <v>3.81</v>
      </c>
      <c r="BD60" t="n">
        <v>3</v>
      </c>
      <c r="BE60" t="n">
        <v>1.11</v>
      </c>
      <c r="BF60" t="n">
        <v>1.27</v>
      </c>
      <c r="BG60" t="n">
        <v>60</v>
      </c>
      <c r="BH60" t="n">
        <v>61</v>
      </c>
      <c r="BI60" t="n">
        <v>13</v>
      </c>
      <c r="BJ60" t="n">
        <v>9.699999999999999</v>
      </c>
      <c r="BK60" t="n">
        <v>157</v>
      </c>
      <c r="BL60" t="n">
        <v>127</v>
      </c>
      <c r="BM60" t="n">
        <v>20.4</v>
      </c>
      <c r="BN60" t="n">
        <v>22.1</v>
      </c>
      <c r="BO60" t="n">
        <v>6.8</v>
      </c>
      <c r="BP60" t="n">
        <v>6.8</v>
      </c>
      <c r="BQ60" t="n">
        <v>13.6</v>
      </c>
      <c r="BR60" t="n">
        <v>15.3</v>
      </c>
      <c r="BS60" t="n">
        <v>138</v>
      </c>
      <c r="BT60" t="n">
        <v>43.03</v>
      </c>
      <c r="BU60" t="n">
        <v>74</v>
      </c>
      <c r="BV60" t="n">
        <v>62.5</v>
      </c>
      <c r="BW60" t="n">
        <v>9.800000000000001</v>
      </c>
      <c r="BX60" t="n">
        <v>3.7</v>
      </c>
      <c r="BY60" t="inlineStr">
        <is>
          <t>2-Інфаркти, 1 стент. ЦД вперше виявлений</t>
        </is>
      </c>
    </row>
    <row r="61">
      <c r="A61" s="10" t="n">
        <v>2</v>
      </c>
      <c r="B61" t="inlineStr">
        <is>
          <t>1561/701</t>
        </is>
      </c>
      <c r="C61" t="inlineStr">
        <is>
          <t>Бабій Олександр Петрович</t>
        </is>
      </c>
      <c r="D61" t="n">
        <v>59</v>
      </c>
      <c r="E61" t="inlineStr">
        <is>
          <t>чол</t>
        </is>
      </c>
      <c r="F61" t="n">
        <v>991566979</v>
      </c>
      <c r="G61" t="inlineStr">
        <is>
          <t>НГ дв. Полісег пневмонія 4кл гр.</t>
        </is>
      </c>
      <c r="H61" t="inlineStr">
        <is>
          <t>важкий</t>
        </is>
      </c>
      <c r="I61" t="inlineStr">
        <is>
          <t>ІІІ</t>
        </is>
      </c>
      <c r="K61" t="inlineStr">
        <is>
          <t>ІХС.ДК. ХОЗЛ. ГХ ІІ</t>
        </is>
      </c>
      <c r="L61" t="inlineStr">
        <is>
          <t>45-50%</t>
        </is>
      </c>
      <c r="M61" t="inlineStr">
        <is>
          <t>важкий</t>
        </is>
      </c>
      <c r="O61" t="n">
        <v>90</v>
      </c>
      <c r="P61" t="n">
        <v>97</v>
      </c>
      <c r="Q61" t="n">
        <v>95</v>
      </c>
      <c r="R61" t="n">
        <v>11</v>
      </c>
      <c r="S61" s="2" t="n">
        <v>44506</v>
      </c>
      <c r="T61" s="2" t="n">
        <v>44492</v>
      </c>
      <c r="U61" t="n">
        <v>17</v>
      </c>
      <c r="W61" t="n">
        <v>4</v>
      </c>
      <c r="X61" t="n">
        <v>3</v>
      </c>
      <c r="Z61" t="inlineStr">
        <is>
          <t>150/100</t>
        </is>
      </c>
      <c r="AA61" t="inlineStr">
        <is>
          <t>130/80</t>
        </is>
      </c>
      <c r="AB61" t="n">
        <v>8</v>
      </c>
      <c r="AC61" t="inlineStr">
        <is>
          <t>інтерстиційні зміни , "біла легеня " справа . Дифузні фіброзні зміни</t>
        </is>
      </c>
      <c r="AD61" t="n">
        <v>160</v>
      </c>
      <c r="AE61" t="n">
        <v>156</v>
      </c>
      <c r="AF61" t="n">
        <v>9.6</v>
      </c>
      <c r="AG61" t="n">
        <v>17.5</v>
      </c>
      <c r="AH61" t="n">
        <v>6</v>
      </c>
      <c r="AI61" t="n">
        <v>12</v>
      </c>
      <c r="AJ61" t="n">
        <v>80</v>
      </c>
      <c r="AK61" t="n">
        <v>63</v>
      </c>
      <c r="AL61" t="n">
        <v>8</v>
      </c>
      <c r="AM61" t="n">
        <v>23</v>
      </c>
      <c r="AN61" t="n">
        <v>6</v>
      </c>
      <c r="AO61" t="n">
        <v>5</v>
      </c>
      <c r="AP61" t="n">
        <v>36</v>
      </c>
      <c r="AQ61" t="n">
        <v>18</v>
      </c>
      <c r="AR61" t="n">
        <v>21.1</v>
      </c>
      <c r="AX61" t="n">
        <v>0.1</v>
      </c>
      <c r="AY61" t="n">
        <v>44</v>
      </c>
      <c r="AZ61" t="n">
        <v>43</v>
      </c>
      <c r="BA61" t="n">
        <v>12.4</v>
      </c>
      <c r="BB61" t="n">
        <v>9</v>
      </c>
      <c r="BC61" t="n">
        <v>3.1</v>
      </c>
      <c r="BD61" t="n">
        <v>2.6</v>
      </c>
      <c r="BE61" t="n">
        <v>1.18</v>
      </c>
      <c r="BF61" t="n">
        <v>0.87</v>
      </c>
      <c r="BG61" t="n">
        <v>60</v>
      </c>
      <c r="BH61" t="n">
        <v>60</v>
      </c>
      <c r="BI61" t="n">
        <v>5.6</v>
      </c>
      <c r="BJ61" t="n">
        <v>3.4</v>
      </c>
      <c r="BK61" t="n">
        <v>101</v>
      </c>
      <c r="BL61" t="n">
        <v>66.09999999999999</v>
      </c>
      <c r="BM61" t="n">
        <v>13.6</v>
      </c>
      <c r="BO61" t="n">
        <v>5.6</v>
      </c>
      <c r="BQ61" t="n">
        <v>10.5</v>
      </c>
      <c r="BS61" t="n">
        <v>65</v>
      </c>
      <c r="BT61" t="n">
        <v>11.9</v>
      </c>
      <c r="BU61" t="n">
        <v>84</v>
      </c>
      <c r="BV61" t="n">
        <v>7.4</v>
      </c>
      <c r="BW61" t="n">
        <v>6.5</v>
      </c>
      <c r="BX61" t="n">
        <v>6.1</v>
      </c>
      <c r="BY61" t="inlineStr">
        <is>
          <t>Вводили Актемру ,  ( Напади агресії , суїцидальні думки )</t>
        </is>
      </c>
    </row>
    <row r="62">
      <c r="A62" s="10" t="n">
        <v>2</v>
      </c>
      <c r="B62" t="inlineStr">
        <is>
          <t>79/374</t>
        </is>
      </c>
      <c r="C62" t="inlineStr">
        <is>
          <t>Яremчук Павло Сергійович</t>
        </is>
      </c>
      <c r="D62" t="n">
        <v>37</v>
      </c>
      <c r="E62" t="inlineStr">
        <is>
          <t>чол</t>
        </is>
      </c>
      <c r="F62" t="n">
        <v>686795965</v>
      </c>
      <c r="G62" t="inlineStr">
        <is>
          <t>НГ дв. Полісег пневмонія 3 кл.гр</t>
        </is>
      </c>
      <c r="H62" t="inlineStr">
        <is>
          <t>серед важ</t>
        </is>
      </c>
      <c r="I62" t="inlineStr">
        <is>
          <t>І</t>
        </is>
      </c>
      <c r="K62" t="inlineStr">
        <is>
          <t>Хрон.  Ероз. гастродуоденіт</t>
        </is>
      </c>
      <c r="L62" s="4" t="n">
        <v>0.1</v>
      </c>
      <c r="M62" t="inlineStr">
        <is>
          <t xml:space="preserve">легкий </t>
        </is>
      </c>
      <c r="O62" t="n">
        <v>95</v>
      </c>
      <c r="Q62" t="n">
        <v>97</v>
      </c>
      <c r="R62" t="n">
        <v>3</v>
      </c>
      <c r="S62" s="2" t="n">
        <v>44363</v>
      </c>
      <c r="T62" s="2" t="n">
        <v>44379</v>
      </c>
      <c r="U62" t="n">
        <v>16</v>
      </c>
      <c r="W62" t="n">
        <v>1</v>
      </c>
      <c r="X62" t="n">
        <v>4</v>
      </c>
      <c r="Y62" t="n">
        <v>5</v>
      </c>
      <c r="Z62" t="inlineStr">
        <is>
          <t>130/80</t>
        </is>
      </c>
      <c r="AA62" t="inlineStr">
        <is>
          <t>130/80</t>
        </is>
      </c>
      <c r="AC62" t="inlineStr">
        <is>
          <t>Ro ОГК перенесеного запалення легень</t>
        </is>
      </c>
      <c r="AD62" t="n">
        <v>140</v>
      </c>
      <c r="AE62" t="n">
        <v>138</v>
      </c>
      <c r="AF62" t="n">
        <v>2.8</v>
      </c>
      <c r="AG62" t="n">
        <v>5.2</v>
      </c>
      <c r="AH62" t="n">
        <v>19</v>
      </c>
      <c r="AI62" t="n">
        <v>7</v>
      </c>
      <c r="AJ62" t="n">
        <v>42</v>
      </c>
      <c r="AK62" t="n">
        <v>69</v>
      </c>
      <c r="AL62" t="n">
        <v>38</v>
      </c>
      <c r="AM62" t="n">
        <v>20</v>
      </c>
      <c r="AN62" t="n">
        <v>4</v>
      </c>
      <c r="AO62" t="n">
        <v>8</v>
      </c>
      <c r="AP62" t="n">
        <v>20</v>
      </c>
      <c r="AQ62" t="n">
        <v>7</v>
      </c>
      <c r="AY62" t="n">
        <v>40</v>
      </c>
      <c r="AZ62" t="n">
        <v>37</v>
      </c>
      <c r="BA62" t="n">
        <v>28</v>
      </c>
      <c r="BB62" t="n">
        <v>26</v>
      </c>
      <c r="BC62" t="n">
        <v>3.99</v>
      </c>
      <c r="BD62" t="n">
        <v>2.66</v>
      </c>
      <c r="BG62" t="n">
        <v>65</v>
      </c>
      <c r="BH62" t="n">
        <v>64</v>
      </c>
      <c r="BI62" t="n">
        <v>7.4</v>
      </c>
      <c r="BJ62" t="n">
        <v>11</v>
      </c>
      <c r="BK62" t="n">
        <v>130</v>
      </c>
      <c r="BL62" t="n">
        <v>137</v>
      </c>
      <c r="BM62" t="n">
        <v>13.6</v>
      </c>
      <c r="BN62" t="n">
        <v>15.3</v>
      </c>
      <c r="BO62" t="n">
        <v>3.4</v>
      </c>
      <c r="BP62" t="n">
        <v>5.1</v>
      </c>
      <c r="BQ62" t="n">
        <v>10.2</v>
      </c>
      <c r="BR62" t="n">
        <v>10.2</v>
      </c>
      <c r="BS62" t="n">
        <v>1</v>
      </c>
      <c r="BT62" t="n">
        <v>2.8</v>
      </c>
      <c r="BU62" t="n">
        <v>0.8</v>
      </c>
      <c r="BV62" t="n">
        <v>2.7</v>
      </c>
      <c r="BW62" t="n">
        <v>5.1</v>
      </c>
      <c r="BX62" t="n">
        <v>4</v>
      </c>
    </row>
    <row r="63">
      <c r="A63" s="10" t="n">
        <v>2</v>
      </c>
      <c r="B63" t="inlineStr">
        <is>
          <t>114/736</t>
        </is>
      </c>
      <c r="C63" t="inlineStr">
        <is>
          <t>Кулика Ольга романівна</t>
        </is>
      </c>
      <c r="D63" t="n">
        <v>47</v>
      </c>
      <c r="E63" t="inlineStr">
        <is>
          <t>жін</t>
        </is>
      </c>
      <c r="F63" t="n">
        <v>637056709</v>
      </c>
      <c r="G63" t="inlineStr">
        <is>
          <t>НГ дв. Полісег пневмонія 4кл гр.</t>
        </is>
      </c>
      <c r="H63" t="inlineStr">
        <is>
          <t>важкий</t>
        </is>
      </c>
      <c r="I63" t="inlineStr">
        <is>
          <t>ІІІ</t>
        </is>
      </c>
      <c r="K63" t="inlineStr">
        <is>
          <t>хр.панкреатит. Диф нетокс зоб.ХОЗЛ</t>
        </is>
      </c>
      <c r="L63" s="4" t="n">
        <v>0.7</v>
      </c>
      <c r="M63" t="inlineStr">
        <is>
          <t xml:space="preserve">вкрай важкий </t>
        </is>
      </c>
      <c r="O63" t="n">
        <v>78</v>
      </c>
      <c r="P63" t="n">
        <v>93</v>
      </c>
      <c r="Q63" t="n">
        <v>94</v>
      </c>
      <c r="R63" t="n">
        <v>6</v>
      </c>
      <c r="S63" s="2" t="n">
        <v>44291</v>
      </c>
      <c r="T63" s="2" t="n">
        <v>44313</v>
      </c>
      <c r="U63" t="n">
        <v>22</v>
      </c>
      <c r="W63" t="n">
        <v>5</v>
      </c>
      <c r="X63" t="n">
        <v>6</v>
      </c>
      <c r="Y63" t="n">
        <v>5</v>
      </c>
      <c r="Z63" t="inlineStr">
        <is>
          <t>130/80</t>
        </is>
      </c>
      <c r="AA63" t="inlineStr">
        <is>
          <t>120/80</t>
        </is>
      </c>
      <c r="AB63" t="n">
        <v>18</v>
      </c>
      <c r="AC63" t="inlineStr">
        <is>
          <t>Ro ОГК незначна позитивна динаміка</t>
        </is>
      </c>
      <c r="AD63" t="n">
        <v>138</v>
      </c>
      <c r="AE63" t="n">
        <v>140</v>
      </c>
      <c r="AF63" t="n">
        <v>7.3</v>
      </c>
      <c r="AG63" t="n">
        <v>4.1</v>
      </c>
      <c r="AH63" t="n">
        <v>23</v>
      </c>
      <c r="AI63" t="n">
        <v>12</v>
      </c>
      <c r="AJ63" t="n">
        <v>61</v>
      </c>
      <c r="AK63" t="n">
        <v>49</v>
      </c>
      <c r="AL63" t="n">
        <v>12</v>
      </c>
      <c r="AM63" t="n">
        <v>37</v>
      </c>
      <c r="AN63" t="n">
        <v>31</v>
      </c>
      <c r="AO63" t="n">
        <v>26</v>
      </c>
      <c r="AP63" t="n">
        <v>25</v>
      </c>
      <c r="AQ63" t="n">
        <v>5</v>
      </c>
      <c r="AY63" t="n">
        <v>48</v>
      </c>
      <c r="AZ63" t="n">
        <v>47</v>
      </c>
      <c r="BA63" t="n">
        <v>18</v>
      </c>
      <c r="BB63" t="n">
        <v>18</v>
      </c>
      <c r="BC63" t="n">
        <v>8.6</v>
      </c>
      <c r="BD63" t="n">
        <v>4</v>
      </c>
      <c r="BG63" t="n">
        <v>64</v>
      </c>
      <c r="BH63" t="n">
        <v>56</v>
      </c>
      <c r="BI63" t="n">
        <v>12.9</v>
      </c>
      <c r="BJ63" t="n">
        <v>4.9</v>
      </c>
      <c r="BK63" t="n">
        <v>129</v>
      </c>
      <c r="BL63" t="n">
        <v>99</v>
      </c>
      <c r="BM63" t="n">
        <v>13.6</v>
      </c>
      <c r="BN63" t="n">
        <v>13.6</v>
      </c>
      <c r="BO63" t="n">
        <v>3.4</v>
      </c>
      <c r="BP63" t="n">
        <v>4.1</v>
      </c>
      <c r="BQ63" t="n">
        <v>10.5</v>
      </c>
      <c r="BR63" t="n">
        <v>10.1</v>
      </c>
      <c r="BS63" t="n">
        <v>0.8</v>
      </c>
      <c r="BT63" t="n">
        <v>2.6</v>
      </c>
      <c r="BU63" t="n">
        <v>0.4</v>
      </c>
      <c r="BV63" t="n">
        <v>2.4</v>
      </c>
      <c r="BW63" t="n">
        <v>5.4</v>
      </c>
      <c r="BX63" t="n">
        <v>3.9</v>
      </c>
      <c r="BY63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64">
      <c r="A64" s="10" t="n">
        <v>2</v>
      </c>
      <c r="B64" t="inlineStr">
        <is>
          <t>2926/273</t>
        </is>
      </c>
      <c r="C64" t="inlineStr">
        <is>
          <t xml:space="preserve">Ткачука Юлія Олегівна </t>
        </is>
      </c>
      <c r="D64" t="n">
        <v>48</v>
      </c>
      <c r="E64" t="inlineStr">
        <is>
          <t>жін</t>
        </is>
      </c>
      <c r="F64" t="n">
        <v>680156464</v>
      </c>
      <c r="G64" t="inlineStr">
        <is>
          <t>НГ дв. Полісег пневмонія 4кл гр.</t>
        </is>
      </c>
      <c r="H64" t="inlineStr">
        <is>
          <t>важкий</t>
        </is>
      </c>
      <c r="I64" t="inlineStr">
        <is>
          <t>ІІІ</t>
        </is>
      </c>
      <c r="K64" t="inlineStr">
        <is>
          <t>ІХС.ДК. ГХ ІІ</t>
        </is>
      </c>
      <c r="L64" t="inlineStr">
        <is>
          <t>65-70%</t>
        </is>
      </c>
      <c r="M64" t="inlineStr">
        <is>
          <t>важкий</t>
        </is>
      </c>
      <c r="O64" t="n">
        <v>90</v>
      </c>
      <c r="P64" t="n">
        <v>98</v>
      </c>
      <c r="Q64" t="n">
        <v>97</v>
      </c>
      <c r="R64" t="n">
        <v>12</v>
      </c>
      <c r="S64" s="2" t="n">
        <v>44539</v>
      </c>
      <c r="T64" s="2" t="n">
        <v>44554</v>
      </c>
      <c r="U64" t="n">
        <v>15</v>
      </c>
      <c r="W64" t="n">
        <v>4</v>
      </c>
      <c r="X64" t="n">
        <v>3</v>
      </c>
      <c r="Y64" t="n">
        <v>2</v>
      </c>
      <c r="Z64" t="inlineStr">
        <is>
          <t>150/100</t>
        </is>
      </c>
      <c r="AA64" t="inlineStr">
        <is>
          <t>130/80</t>
        </is>
      </c>
      <c r="AB64" t="n">
        <v>11</v>
      </c>
      <c r="AC64" t="inlineStr">
        <is>
          <t>незначні інтерстецийні зміни</t>
        </is>
      </c>
      <c r="AD64" t="n">
        <v>115</v>
      </c>
      <c r="AE64" t="n">
        <v>132</v>
      </c>
      <c r="AF64" t="n">
        <v>4.2</v>
      </c>
      <c r="AG64" t="n">
        <v>11.3</v>
      </c>
      <c r="AH64" t="n">
        <v>15</v>
      </c>
      <c r="AI64" t="n">
        <v>8</v>
      </c>
      <c r="AJ64" t="n">
        <v>45</v>
      </c>
      <c r="AK64" t="n">
        <v>70</v>
      </c>
      <c r="AL64" t="n">
        <v>35</v>
      </c>
      <c r="AM64" t="n">
        <v>14</v>
      </c>
      <c r="AN64" t="n">
        <v>41</v>
      </c>
      <c r="AO64" t="n">
        <v>15</v>
      </c>
      <c r="AP64" t="n">
        <v>12</v>
      </c>
      <c r="AQ64" t="n">
        <v>6</v>
      </c>
      <c r="AR64" t="n">
        <v>7.35</v>
      </c>
      <c r="AU64" t="n">
        <v>186</v>
      </c>
      <c r="AX64" t="n">
        <v>0.19</v>
      </c>
      <c r="AY64" t="n">
        <v>38</v>
      </c>
      <c r="AZ64" t="n">
        <v>36</v>
      </c>
      <c r="BA64" t="n">
        <v>9.9</v>
      </c>
      <c r="BB64" t="n">
        <v>11.7</v>
      </c>
      <c r="BC64" t="n">
        <v>3.93</v>
      </c>
      <c r="BD64" t="n">
        <v>2.08</v>
      </c>
      <c r="BE64" t="n">
        <v>0.97</v>
      </c>
      <c r="BF64" t="n">
        <v>1.13</v>
      </c>
      <c r="BG64" t="n">
        <v>68</v>
      </c>
      <c r="BH64" t="n">
        <v>78.3</v>
      </c>
      <c r="BI64" t="n">
        <v>8</v>
      </c>
      <c r="BJ64" t="n">
        <v>6.5</v>
      </c>
      <c r="BK64" t="n">
        <v>115</v>
      </c>
      <c r="BL64" t="n">
        <v>90.2</v>
      </c>
      <c r="BM64" t="n">
        <v>13.6</v>
      </c>
      <c r="BN64" t="n">
        <v>17</v>
      </c>
      <c r="BO64" t="n">
        <v>5.1</v>
      </c>
      <c r="BP64" t="n">
        <v>5.1</v>
      </c>
      <c r="BQ64" t="n">
        <v>8.5</v>
      </c>
      <c r="BR64" t="n">
        <v>11.9</v>
      </c>
      <c r="BS64" t="n">
        <v>60.6</v>
      </c>
      <c r="BT64" t="n">
        <v>112.7</v>
      </c>
      <c r="BU64" t="n">
        <v>41</v>
      </c>
      <c r="BV64" t="n">
        <v>92.5</v>
      </c>
      <c r="BW64" t="n">
        <v>6.2</v>
      </c>
      <c r="BX64" t="n">
        <v>7</v>
      </c>
      <c r="BY64" t="inlineStr">
        <is>
          <t xml:space="preserve"> часті маткові  кроветечі </t>
        </is>
      </c>
    </row>
    <row r="65">
      <c r="A65" s="10" t="n">
        <v>2</v>
      </c>
      <c r="B65" t="inlineStr">
        <is>
          <t>1888/115</t>
        </is>
      </c>
      <c r="C65" t="inlineStr">
        <is>
          <t>Лесюк Іван Володимирович</t>
        </is>
      </c>
      <c r="D65" t="n">
        <v>62</v>
      </c>
      <c r="E65" t="inlineStr">
        <is>
          <t>чол</t>
        </is>
      </c>
      <c r="F65" t="n">
        <v>501320598</v>
      </c>
      <c r="G65" t="inlineStr">
        <is>
          <t>НГ дв. Полісег пневмонія 4кл гр.</t>
        </is>
      </c>
      <c r="H65" t="inlineStr">
        <is>
          <t>важкий</t>
        </is>
      </c>
      <c r="I65" t="inlineStr">
        <is>
          <t>ІІІ</t>
        </is>
      </c>
      <c r="K65" t="inlineStr">
        <is>
          <t xml:space="preserve">ІХС.ДК. ГХ ІІ. ЦД </t>
        </is>
      </c>
      <c r="L65" s="4" t="inlineStr">
        <is>
          <t>70-80%</t>
        </is>
      </c>
      <c r="M65" t="inlineStr">
        <is>
          <t>вкрай важкий</t>
        </is>
      </c>
      <c r="O65" t="n">
        <v>80</v>
      </c>
      <c r="P65" t="n">
        <v>94</v>
      </c>
      <c r="Q65" s="12" t="inlineStr">
        <is>
          <t>89 на конц</t>
        </is>
      </c>
      <c r="R65" t="n">
        <v>27</v>
      </c>
      <c r="S65" s="2" t="n">
        <v>44515</v>
      </c>
      <c r="T65" s="2" t="n">
        <v>44554</v>
      </c>
      <c r="U65" t="n">
        <v>39</v>
      </c>
      <c r="W65" t="n">
        <v>5</v>
      </c>
      <c r="X65" t="n">
        <v>6</v>
      </c>
      <c r="Y65" t="n">
        <v>4</v>
      </c>
      <c r="Z65" t="inlineStr">
        <is>
          <t>140/90</t>
        </is>
      </c>
      <c r="AA65" t="inlineStr">
        <is>
          <t>130/80</t>
        </is>
      </c>
      <c r="AB65" t="n">
        <v>39</v>
      </c>
      <c r="AC65" t="inlineStr">
        <is>
          <t xml:space="preserve"> незначна позитивна динаміка, фіброзні зміни</t>
        </is>
      </c>
      <c r="AD65" t="n">
        <v>146</v>
      </c>
      <c r="AE65" t="n">
        <v>124</v>
      </c>
      <c r="AF65" t="n">
        <v>12.9</v>
      </c>
      <c r="AG65" t="n">
        <v>8.4</v>
      </c>
      <c r="AH65" t="n">
        <v>8</v>
      </c>
      <c r="AI65" t="n">
        <v>13</v>
      </c>
      <c r="AJ65" t="n">
        <v>78</v>
      </c>
      <c r="AK65" t="n">
        <v>55</v>
      </c>
      <c r="AL65" t="n">
        <v>12</v>
      </c>
      <c r="AM65" t="n">
        <v>17</v>
      </c>
      <c r="AN65" t="n">
        <v>30</v>
      </c>
      <c r="AO65" t="n">
        <v>14</v>
      </c>
      <c r="AP65" t="n">
        <v>11.8</v>
      </c>
      <c r="AQ65" t="n">
        <v>4.6</v>
      </c>
      <c r="AU65" t="n">
        <v>1727</v>
      </c>
      <c r="AV65" t="n">
        <v>536</v>
      </c>
      <c r="AX65" t="n">
        <v>0.44</v>
      </c>
      <c r="AY65" t="n">
        <v>33</v>
      </c>
      <c r="AZ65" t="n">
        <v>40</v>
      </c>
      <c r="BA65" t="n">
        <v>12.3</v>
      </c>
      <c r="BB65" t="n">
        <v>13</v>
      </c>
      <c r="BC65" t="n">
        <v>7</v>
      </c>
      <c r="BD65" t="n">
        <v>2.24</v>
      </c>
      <c r="BE65" t="n">
        <v>1.16</v>
      </c>
      <c r="BF65" t="n">
        <v>1.24</v>
      </c>
      <c r="BG65" t="n">
        <v>50</v>
      </c>
      <c r="BH65" t="n">
        <v>72.90000000000001</v>
      </c>
      <c r="BI65" t="n">
        <v>7.3</v>
      </c>
      <c r="BJ65" t="n">
        <v>8.6</v>
      </c>
      <c r="BK65" t="n">
        <v>100</v>
      </c>
      <c r="BL65" t="n">
        <v>113.9</v>
      </c>
      <c r="BM65" t="n">
        <v>11.9</v>
      </c>
      <c r="BN65" t="n">
        <v>11.9</v>
      </c>
      <c r="BO65" t="n">
        <v>3.4</v>
      </c>
      <c r="BP65" t="n">
        <v>3.4</v>
      </c>
      <c r="BQ65" t="n">
        <v>10.2</v>
      </c>
      <c r="BR65" t="n">
        <v>8.5</v>
      </c>
      <c r="BS65" t="n">
        <v>30.3</v>
      </c>
      <c r="BT65" t="n">
        <v>129</v>
      </c>
      <c r="BU65" t="n">
        <v>20.5</v>
      </c>
      <c r="BV65" t="n">
        <v>77.09999999999999</v>
      </c>
      <c r="BW65" t="n">
        <v>6.4</v>
      </c>
      <c r="BX65" t="n">
        <v>4.6</v>
      </c>
      <c r="BY65" t="inlineStr">
        <is>
          <t>виписаний додому з концентр.</t>
        </is>
      </c>
    </row>
    <row r="66">
      <c r="A66" s="10" t="n">
        <v>2</v>
      </c>
      <c r="B66" t="inlineStr">
        <is>
          <t>497/721</t>
        </is>
      </c>
      <c r="C66" t="inlineStr">
        <is>
          <t xml:space="preserve">Нечитайло віктор Олегович </t>
        </is>
      </c>
      <c r="D66" t="n">
        <v>51</v>
      </c>
      <c r="E66" t="inlineStr">
        <is>
          <t>чол</t>
        </is>
      </c>
      <c r="F66" t="n">
        <v>969042163</v>
      </c>
      <c r="G66" t="inlineStr">
        <is>
          <t>НГ дв. Полісег пневмонія 3 кл.гр</t>
        </is>
      </c>
      <c r="H66" t="inlineStr">
        <is>
          <t>серед важ</t>
        </is>
      </c>
      <c r="I66" t="inlineStr">
        <is>
          <t>І</t>
        </is>
      </c>
      <c r="K66" t="inlineStr">
        <is>
          <t>ІХС.ДК. ГХ ІІ. Міокардит .Аритмія</t>
        </is>
      </c>
      <c r="L66" s="4" t="inlineStr">
        <is>
          <t>25-30%</t>
        </is>
      </c>
      <c r="M66" t="inlineStr">
        <is>
          <t>середній</t>
        </is>
      </c>
      <c r="O66" s="13" t="n">
        <v>0.9</v>
      </c>
      <c r="P66" t="n">
        <v>95</v>
      </c>
      <c r="R66" t="n">
        <v>10</v>
      </c>
      <c r="S66" s="2" t="n">
        <v>44517</v>
      </c>
      <c r="T66" s="2" t="n">
        <v>44546</v>
      </c>
      <c r="U66" t="n">
        <v>29</v>
      </c>
      <c r="W66" t="n">
        <v>3</v>
      </c>
      <c r="X66" t="n">
        <v>3</v>
      </c>
      <c r="Z66" t="inlineStr">
        <is>
          <t>140/90</t>
        </is>
      </c>
      <c r="AA66" t="inlineStr">
        <is>
          <t>130/80</t>
        </is>
      </c>
      <c r="AB66" s="12" t="inlineStr">
        <is>
          <t>?</t>
        </is>
      </c>
      <c r="AC66" t="inlineStr">
        <is>
          <t>помірні інтерстиц. зміни</t>
        </is>
      </c>
      <c r="AD66" t="n">
        <v>156</v>
      </c>
      <c r="AE66" t="n">
        <v>146</v>
      </c>
      <c r="AF66" t="n">
        <v>11.7</v>
      </c>
      <c r="AG66" t="n">
        <v>8.6</v>
      </c>
      <c r="AH66" t="n">
        <v>9</v>
      </c>
      <c r="AI66" t="n">
        <v>8</v>
      </c>
      <c r="AJ66" t="n">
        <v>86</v>
      </c>
      <c r="AK66" t="n">
        <v>68</v>
      </c>
      <c r="AL66" t="n">
        <v>4</v>
      </c>
      <c r="AM66" t="n">
        <v>19</v>
      </c>
      <c r="AN66" t="n">
        <v>2</v>
      </c>
      <c r="AO66" t="n">
        <v>3</v>
      </c>
      <c r="AP66" t="n">
        <v>6</v>
      </c>
      <c r="AQ66" t="n">
        <v>6</v>
      </c>
      <c r="AU66" t="n">
        <v>146</v>
      </c>
      <c r="AY66" t="n">
        <v>50</v>
      </c>
      <c r="AZ66" t="n">
        <v>47</v>
      </c>
      <c r="BA66" t="n">
        <v>16.3</v>
      </c>
      <c r="BB66" t="n">
        <v>10.4</v>
      </c>
      <c r="BC66" t="n">
        <v>2.2</v>
      </c>
      <c r="BD66" t="n">
        <v>2.7</v>
      </c>
      <c r="BE66" t="n">
        <v>1.49</v>
      </c>
      <c r="BF66" t="n">
        <v>1.01</v>
      </c>
      <c r="BG66" t="n">
        <v>60</v>
      </c>
      <c r="BH66" t="n">
        <v>58</v>
      </c>
      <c r="BI66" t="n">
        <v>4.8</v>
      </c>
      <c r="BJ66" t="n">
        <v>7.1</v>
      </c>
      <c r="BK66" t="n">
        <v>75</v>
      </c>
      <c r="BL66" t="n">
        <v>106.6</v>
      </c>
      <c r="BM66" t="n">
        <v>17</v>
      </c>
      <c r="BN66" t="n">
        <v>17</v>
      </c>
      <c r="BO66" t="n">
        <v>5.1</v>
      </c>
      <c r="BP66" t="n">
        <v>5.1</v>
      </c>
      <c r="BQ66" t="n">
        <v>11.9</v>
      </c>
      <c r="BR66" t="n">
        <v>11.9</v>
      </c>
      <c r="BS66" t="n">
        <v>38</v>
      </c>
      <c r="BT66" t="n">
        <v>52.1</v>
      </c>
      <c r="BU66" t="n">
        <v>19.7</v>
      </c>
      <c r="BV66" t="n">
        <v>25</v>
      </c>
      <c r="BW66" t="n">
        <v>4.6</v>
      </c>
      <c r="BX66" t="n">
        <v>6.9</v>
      </c>
      <c r="BY66" t="inlineStr">
        <is>
          <t xml:space="preserve">  Розумова деменція , можливо вроджена ))</t>
        </is>
      </c>
    </row>
    <row r="67">
      <c r="A67" s="10" t="n">
        <v>2</v>
      </c>
      <c r="B67" t="inlineStr">
        <is>
          <t>3033/34</t>
        </is>
      </c>
      <c r="C67" t="inlineStr">
        <is>
          <t xml:space="preserve">Лазарчук Володимир Романович </t>
        </is>
      </c>
      <c r="D67" t="n">
        <v>40</v>
      </c>
      <c r="E67" t="inlineStr">
        <is>
          <t>чол</t>
        </is>
      </c>
      <c r="F67" t="n">
        <v>681960278</v>
      </c>
      <c r="G67" t="inlineStr">
        <is>
          <t>НГ дв. Полісег пневмонія 4кл гр.</t>
        </is>
      </c>
      <c r="H67" t="inlineStr">
        <is>
          <t>важкий</t>
        </is>
      </c>
      <c r="I67" t="inlineStr">
        <is>
          <t>ІІ-ІІІ</t>
        </is>
      </c>
      <c r="K67" t="inlineStr">
        <is>
          <t xml:space="preserve">Хр.тонзиліт </t>
        </is>
      </c>
      <c r="L67" s="4" t="inlineStr">
        <is>
          <t>60-70</t>
        </is>
      </c>
      <c r="M67" t="inlineStr">
        <is>
          <t>важкий</t>
        </is>
      </c>
      <c r="O67" t="n">
        <v>87</v>
      </c>
      <c r="P67" t="n">
        <v>94</v>
      </c>
      <c r="Q67" t="n">
        <v>98</v>
      </c>
      <c r="R67" t="n">
        <v>7</v>
      </c>
      <c r="S67" s="2" t="n">
        <v>44335</v>
      </c>
      <c r="T67" s="2" t="n">
        <v>44356</v>
      </c>
      <c r="U67" t="n">
        <v>21</v>
      </c>
      <c r="W67" t="n">
        <v>4</v>
      </c>
      <c r="X67" t="n">
        <v>4</v>
      </c>
      <c r="Y67" t="n">
        <v>2</v>
      </c>
      <c r="Z67" t="inlineStr">
        <is>
          <t>130/90</t>
        </is>
      </c>
      <c r="AA67" t="inlineStr">
        <is>
          <t>130/80</t>
        </is>
      </c>
      <c r="AB67" t="n">
        <v>11</v>
      </c>
      <c r="AC67" t="inlineStr">
        <is>
          <t>множинні вогнища ущільнення</t>
        </is>
      </c>
      <c r="AD67" t="n">
        <v>157</v>
      </c>
      <c r="AE67" t="n">
        <v>147</v>
      </c>
      <c r="AF67" t="n">
        <v>6.1</v>
      </c>
      <c r="AG67" t="n">
        <v>6.6</v>
      </c>
      <c r="AH67" t="n">
        <v>30</v>
      </c>
      <c r="AI67" t="n">
        <v>15</v>
      </c>
      <c r="AJ67" t="n">
        <v>39</v>
      </c>
      <c r="AK67" t="n">
        <v>42</v>
      </c>
      <c r="AL67" t="n">
        <v>30</v>
      </c>
      <c r="AM67" t="n">
        <v>40</v>
      </c>
      <c r="AN67" t="n">
        <v>20</v>
      </c>
      <c r="AO67" t="n">
        <v>2</v>
      </c>
      <c r="AP67" t="n">
        <v>35</v>
      </c>
      <c r="AQ67" t="n">
        <v>7</v>
      </c>
      <c r="AY67" t="n">
        <v>42</v>
      </c>
      <c r="AZ67" t="n">
        <v>40</v>
      </c>
      <c r="BA67" t="n">
        <v>26</v>
      </c>
      <c r="BB67" t="n">
        <v>22</v>
      </c>
      <c r="BC67" t="n">
        <v>4</v>
      </c>
      <c r="BD67" t="n">
        <v>4.21</v>
      </c>
      <c r="BG67" t="n">
        <v>64</v>
      </c>
      <c r="BH67" t="n">
        <v>70</v>
      </c>
      <c r="BI67" t="n">
        <v>8.1</v>
      </c>
      <c r="BJ67" t="n">
        <v>6.9</v>
      </c>
      <c r="BK67" t="n">
        <v>153</v>
      </c>
      <c r="BL67" t="n">
        <v>117</v>
      </c>
      <c r="BM67" t="n">
        <v>11.9</v>
      </c>
      <c r="BN67" t="n">
        <v>18.7</v>
      </c>
      <c r="BO67" t="n">
        <v>2.7</v>
      </c>
      <c r="BP67" t="n">
        <v>8.5</v>
      </c>
      <c r="BQ67" t="n">
        <v>9.5</v>
      </c>
      <c r="BR67" t="n">
        <v>10.2</v>
      </c>
      <c r="BS67" t="n">
        <v>1</v>
      </c>
      <c r="BT67" t="n">
        <v>1.4</v>
      </c>
      <c r="BU67" t="n">
        <v>0.8</v>
      </c>
      <c r="BV67" t="n">
        <v>1</v>
      </c>
      <c r="BW67" t="n">
        <v>4.5</v>
      </c>
      <c r="BX67" t="n">
        <v>4.7</v>
      </c>
    </row>
    <row r="68">
      <c r="A68" s="10" t="n">
        <v>2</v>
      </c>
      <c r="B68" t="inlineStr">
        <is>
          <t>2371/432</t>
        </is>
      </c>
      <c r="C68" t="inlineStr">
        <is>
          <t>Руснака Оксана Іванівна</t>
        </is>
      </c>
      <c r="D68" t="n">
        <v>67</v>
      </c>
      <c r="E68" t="inlineStr">
        <is>
          <t>жін</t>
        </is>
      </c>
      <c r="F68" t="inlineStr">
        <is>
          <t>0638296017невістка</t>
        </is>
      </c>
      <c r="G68" t="inlineStr">
        <is>
          <t>НГ дв. Полісег пневмонія 4кл гр.</t>
        </is>
      </c>
      <c r="H68" t="inlineStr">
        <is>
          <t>важкий</t>
        </is>
      </c>
      <c r="I68" t="inlineStr">
        <is>
          <t>ІІ-ІІІ</t>
        </is>
      </c>
      <c r="K68" t="inlineStr">
        <is>
          <t>ІХС.ДК.  ГХ ІІ.Анемія середн.важк</t>
        </is>
      </c>
      <c r="L68" s="4" t="inlineStr">
        <is>
          <t>40-45%</t>
        </is>
      </c>
      <c r="M68" t="inlineStr">
        <is>
          <t>середній</t>
        </is>
      </c>
      <c r="O68" t="n">
        <v>80</v>
      </c>
      <c r="P68" t="n">
        <v>90</v>
      </c>
      <c r="Q68" t="n">
        <v>94</v>
      </c>
      <c r="R68" t="n">
        <v>21</v>
      </c>
      <c r="S68" s="2" t="n">
        <v>44359</v>
      </c>
      <c r="T68" s="14" t="n">
        <v>44407</v>
      </c>
      <c r="U68" t="n">
        <v>48</v>
      </c>
      <c r="W68" t="n">
        <v>3</v>
      </c>
      <c r="X68" t="n">
        <v>7</v>
      </c>
      <c r="Y68" t="n">
        <v>2</v>
      </c>
      <c r="Z68" t="inlineStr">
        <is>
          <t>140/90</t>
        </is>
      </c>
      <c r="AA68" t="inlineStr">
        <is>
          <t>130/90</t>
        </is>
      </c>
      <c r="AB68" t="n">
        <v>48</v>
      </c>
      <c r="AC68" t="inlineStr">
        <is>
          <t>Ro ОГК множинні фіброзні зміни</t>
        </is>
      </c>
      <c r="AD68" t="n">
        <v>109</v>
      </c>
      <c r="AE68" t="n">
        <v>134</v>
      </c>
      <c r="AF68" t="n">
        <v>7.4</v>
      </c>
      <c r="AG68" t="n">
        <v>7.5</v>
      </c>
      <c r="AH68" t="n">
        <v>54</v>
      </c>
      <c r="AI68" t="n">
        <v>20</v>
      </c>
      <c r="AJ68" t="n">
        <v>28</v>
      </c>
      <c r="AK68" t="n">
        <v>40</v>
      </c>
      <c r="AL68" t="n">
        <v>14</v>
      </c>
      <c r="AM68" t="n">
        <v>34</v>
      </c>
      <c r="AN68" t="n">
        <v>29</v>
      </c>
      <c r="AO68" t="n">
        <v>4</v>
      </c>
      <c r="AP68" t="n">
        <v>25</v>
      </c>
      <c r="AQ68" t="n">
        <v>9</v>
      </c>
      <c r="AX68" t="n">
        <v>0.28</v>
      </c>
      <c r="AY68" t="n">
        <v>33</v>
      </c>
      <c r="AZ68" t="n">
        <v>40</v>
      </c>
      <c r="BA68" t="n">
        <v>11.2</v>
      </c>
      <c r="BB68" t="n">
        <v>19</v>
      </c>
      <c r="BC68" t="n">
        <v>4</v>
      </c>
      <c r="BD68" t="n">
        <v>4.88</v>
      </c>
      <c r="BG68" t="n">
        <v>58</v>
      </c>
      <c r="BH68" t="n">
        <v>56</v>
      </c>
      <c r="BI68" t="n">
        <v>6.9</v>
      </c>
      <c r="BJ68" t="n">
        <v>3.9</v>
      </c>
      <c r="BK68" t="n">
        <v>102</v>
      </c>
      <c r="BL68" t="n">
        <v>67</v>
      </c>
      <c r="BM68" t="n">
        <v>18.7</v>
      </c>
      <c r="BN68" t="n">
        <v>13.6</v>
      </c>
      <c r="BO68" t="n">
        <v>8.5</v>
      </c>
      <c r="BP68" t="n">
        <v>3.4</v>
      </c>
      <c r="BQ68" t="n">
        <v>10.3</v>
      </c>
      <c r="BR68" t="n">
        <v>10.2</v>
      </c>
      <c r="BS68" t="n">
        <v>1.4</v>
      </c>
      <c r="BT68" t="n">
        <v>1</v>
      </c>
      <c r="BU68" t="n">
        <v>1</v>
      </c>
      <c r="BV68" t="n">
        <v>0.8</v>
      </c>
      <c r="BW68" t="n">
        <v>4</v>
      </c>
      <c r="BX68" t="n">
        <v>4.7</v>
      </c>
      <c r="BY68" t="inlineStr">
        <is>
          <t>виписана додому з концентр. Часті носові  кровотечі</t>
        </is>
      </c>
    </row>
    <row r="69">
      <c r="A69" s="10" t="n">
        <v>2</v>
      </c>
      <c r="B69" t="inlineStr">
        <is>
          <t>1124/483</t>
        </is>
      </c>
      <c r="C69" t="inlineStr">
        <is>
          <t xml:space="preserve">Заячука Уляна Миколаївна </t>
        </is>
      </c>
      <c r="D69" t="n">
        <v>41</v>
      </c>
      <c r="E69" t="inlineStr">
        <is>
          <t>жін</t>
        </is>
      </c>
      <c r="F69" t="n">
        <v>992041263</v>
      </c>
      <c r="G69" t="inlineStr">
        <is>
          <t>НГ дв. Полісег пневмонія 4 кл.гр</t>
        </is>
      </c>
      <c r="H69" t="inlineStr">
        <is>
          <t>важкий</t>
        </is>
      </c>
      <c r="I69" t="inlineStr">
        <is>
          <t>І-ІІ</t>
        </is>
      </c>
      <c r="L69" s="4" t="inlineStr">
        <is>
          <t>50-75%</t>
        </is>
      </c>
      <c r="M69" t="inlineStr">
        <is>
          <t xml:space="preserve">важкий </t>
        </is>
      </c>
      <c r="O69" t="n">
        <v>90</v>
      </c>
      <c r="P69" t="n">
        <v>97</v>
      </c>
      <c r="Q69" t="n">
        <v>98</v>
      </c>
      <c r="R69" t="n">
        <v>9</v>
      </c>
      <c r="S69" s="2" t="n">
        <v>44388</v>
      </c>
      <c r="T69" s="2" t="n">
        <v>44398</v>
      </c>
      <c r="U69" t="n">
        <v>10</v>
      </c>
      <c r="W69" t="n">
        <v>4</v>
      </c>
      <c r="X69" t="n">
        <v>2</v>
      </c>
      <c r="Y69" t="n">
        <v>3</v>
      </c>
      <c r="Z69" t="inlineStr">
        <is>
          <t>130/80</t>
        </is>
      </c>
      <c r="AA69" t="inlineStr">
        <is>
          <t>130/80</t>
        </is>
      </c>
      <c r="AB69" t="n">
        <v>7</v>
      </c>
      <c r="AC69" t="inlineStr">
        <is>
          <t>Ro ОГК перенесеного запалення легень</t>
        </is>
      </c>
      <c r="AD69" t="n">
        <v>144</v>
      </c>
      <c r="AE69" t="n">
        <v>134</v>
      </c>
      <c r="AF69" t="n">
        <v>4</v>
      </c>
      <c r="AG69" t="n">
        <v>6.8</v>
      </c>
      <c r="AH69" t="n">
        <v>17</v>
      </c>
      <c r="AI69" t="n">
        <v>10</v>
      </c>
      <c r="AJ69" t="n">
        <v>58</v>
      </c>
      <c r="AK69" t="n">
        <v>61</v>
      </c>
      <c r="AL69" t="n">
        <v>20</v>
      </c>
      <c r="AM69" t="n">
        <v>25</v>
      </c>
      <c r="AN69" t="n">
        <v>29</v>
      </c>
      <c r="AO69" t="n">
        <v>14</v>
      </c>
      <c r="AP69" t="n">
        <v>20</v>
      </c>
      <c r="AQ69" t="n">
        <v>7</v>
      </c>
      <c r="AY69" t="n">
        <v>42</v>
      </c>
      <c r="AZ69" t="n">
        <v>40</v>
      </c>
      <c r="BA69" t="n">
        <v>21</v>
      </c>
      <c r="BB69" t="n">
        <v>20</v>
      </c>
      <c r="BC69" t="n">
        <v>4.21</v>
      </c>
      <c r="BD69" t="n">
        <v>6.66</v>
      </c>
      <c r="BG69" t="n">
        <v>70</v>
      </c>
      <c r="BH69" t="n">
        <v>54</v>
      </c>
      <c r="BI69" t="n">
        <v>5.2</v>
      </c>
      <c r="BJ69" t="n">
        <v>5.9</v>
      </c>
      <c r="BK69" t="n">
        <v>83</v>
      </c>
      <c r="BL69" t="n">
        <v>70</v>
      </c>
      <c r="BM69" t="n">
        <v>20.4</v>
      </c>
      <c r="BN69" t="n">
        <v>18.7</v>
      </c>
      <c r="BO69" t="n">
        <v>5</v>
      </c>
      <c r="BP69" t="n">
        <v>6.8</v>
      </c>
      <c r="BQ69" t="n">
        <v>15.3</v>
      </c>
      <c r="BR69" t="n">
        <v>11.9</v>
      </c>
      <c r="BS69" t="n">
        <v>1.4</v>
      </c>
      <c r="BT69" t="n">
        <v>2.7</v>
      </c>
      <c r="BU69" t="n">
        <v>1</v>
      </c>
      <c r="BV69" t="n">
        <v>2.6</v>
      </c>
      <c r="BW69" t="n">
        <v>4.8</v>
      </c>
      <c r="BX69" t="n">
        <v>4.1</v>
      </c>
    </row>
    <row r="70">
      <c r="A70" s="10" t="n">
        <v>2</v>
      </c>
      <c r="B70" t="inlineStr">
        <is>
          <t>1601/88</t>
        </is>
      </c>
      <c r="C70" t="inlineStr">
        <is>
          <t xml:space="preserve">Яворськийа Зоряна Василівна </t>
        </is>
      </c>
      <c r="D70" t="n">
        <v>56</v>
      </c>
      <c r="E70" t="inlineStr">
        <is>
          <t>жін</t>
        </is>
      </c>
      <c r="F70" t="n">
        <v>675240137</v>
      </c>
      <c r="G70" t="inlineStr">
        <is>
          <t>НГ дв. Полісег пневмонія 3 кл.гр</t>
        </is>
      </c>
      <c r="H70" t="inlineStr">
        <is>
          <t>серед важ</t>
        </is>
      </c>
      <c r="I70" t="inlineStr">
        <is>
          <t>І</t>
        </is>
      </c>
      <c r="K70" t="inlineStr">
        <is>
          <t xml:space="preserve">Хр.Гастроентероколіт </t>
        </is>
      </c>
      <c r="O70" t="n">
        <v>89</v>
      </c>
      <c r="P70" t="n">
        <v>96</v>
      </c>
      <c r="Q70" t="n">
        <v>97</v>
      </c>
      <c r="R70" t="n">
        <v>7</v>
      </c>
      <c r="S70" s="2" t="n">
        <v>44386</v>
      </c>
      <c r="T70" s="2" t="n">
        <v>44405</v>
      </c>
      <c r="U70" t="n">
        <v>20</v>
      </c>
      <c r="W70" t="n">
        <v>3</v>
      </c>
      <c r="X70" t="n">
        <v>3</v>
      </c>
      <c r="Y70" t="n">
        <v>1</v>
      </c>
      <c r="Z70" t="inlineStr">
        <is>
          <t>140/90</t>
        </is>
      </c>
      <c r="AA70" t="inlineStr">
        <is>
          <t>130/80</t>
        </is>
      </c>
      <c r="AB70" t="n">
        <v>12</v>
      </c>
      <c r="AC70" t="inlineStr">
        <is>
          <t>Ro ОГК перенесеного запалення легень</t>
        </is>
      </c>
      <c r="AD70" t="n">
        <v>149</v>
      </c>
      <c r="AE70" t="n">
        <v>127</v>
      </c>
      <c r="AF70" t="n">
        <v>13.9</v>
      </c>
      <c r="AG70" t="n">
        <v>10.8</v>
      </c>
      <c r="AH70" t="n">
        <v>21</v>
      </c>
      <c r="AI70" t="n">
        <v>25</v>
      </c>
      <c r="AJ70" t="n">
        <v>72</v>
      </c>
      <c r="AK70" t="n">
        <v>55</v>
      </c>
      <c r="AL70" t="n">
        <v>6</v>
      </c>
      <c r="AM70" t="n">
        <v>17</v>
      </c>
      <c r="AN70" t="n">
        <v>45</v>
      </c>
      <c r="AO70" t="n">
        <v>30</v>
      </c>
      <c r="AP70" t="n">
        <v>25</v>
      </c>
      <c r="AQ70" t="n">
        <v>28</v>
      </c>
      <c r="AX70" t="n">
        <v>0.17</v>
      </c>
      <c r="AY70" t="n">
        <v>40</v>
      </c>
      <c r="AZ70" t="n">
        <v>40</v>
      </c>
      <c r="BA70" t="n">
        <v>14</v>
      </c>
      <c r="BB70" t="n">
        <v>15</v>
      </c>
      <c r="BC70" t="n">
        <v>4</v>
      </c>
      <c r="BD70" t="n">
        <v>4.21</v>
      </c>
      <c r="BG70" t="n">
        <v>72</v>
      </c>
      <c r="BH70" t="n">
        <v>60</v>
      </c>
      <c r="BI70" t="n">
        <v>6.5</v>
      </c>
      <c r="BJ70" t="n">
        <v>7.7</v>
      </c>
      <c r="BK70" t="n">
        <v>119</v>
      </c>
      <c r="BL70" t="n">
        <v>118</v>
      </c>
      <c r="BM70" t="n">
        <v>11.9</v>
      </c>
      <c r="BN70" t="n">
        <v>23.8</v>
      </c>
      <c r="BO70" t="n">
        <v>2.4</v>
      </c>
      <c r="BP70" t="n">
        <v>6.8</v>
      </c>
      <c r="BQ70" t="n">
        <v>9.5</v>
      </c>
      <c r="BR70" t="n">
        <v>17</v>
      </c>
      <c r="BS70" t="n">
        <v>1.6</v>
      </c>
      <c r="BT70" t="n">
        <v>2.2</v>
      </c>
      <c r="BU70" t="n">
        <v>1.2</v>
      </c>
      <c r="BV70" t="n">
        <v>1.4</v>
      </c>
      <c r="BW70" t="n">
        <v>7.2</v>
      </c>
      <c r="BX70" t="n">
        <v>7</v>
      </c>
    </row>
    <row r="71">
      <c r="A71" s="10" t="n">
        <v>2</v>
      </c>
      <c r="B71" t="inlineStr">
        <is>
          <t>816/358</t>
        </is>
      </c>
      <c r="C71" t="inlineStr">
        <is>
          <t>Оленюка Світлана Богданівна</t>
        </is>
      </c>
      <c r="D71" t="n">
        <v>59</v>
      </c>
      <c r="E71" t="inlineStr">
        <is>
          <t>жін</t>
        </is>
      </c>
      <c r="F71" t="n">
        <v>680591483</v>
      </c>
      <c r="G71" t="inlineStr">
        <is>
          <t>НГ дв. Полісег пневмонія 3 кл.гр</t>
        </is>
      </c>
      <c r="H71" t="inlineStr">
        <is>
          <t>серед важ</t>
        </is>
      </c>
      <c r="I71" t="inlineStr">
        <is>
          <t>ІІ</t>
        </is>
      </c>
      <c r="K71" t="inlineStr">
        <is>
          <t>ІХС.ДК. ХОЗЛ. Остеоартроз</t>
        </is>
      </c>
      <c r="O71" t="n">
        <v>90</v>
      </c>
      <c r="P71" t="n">
        <v>98</v>
      </c>
      <c r="Q71" t="n">
        <v>96</v>
      </c>
      <c r="R71" t="n">
        <v>8</v>
      </c>
      <c r="S71" s="2" t="n">
        <v>44337</v>
      </c>
      <c r="T71" s="2" t="n">
        <v>44356</v>
      </c>
      <c r="U71" t="n">
        <v>19</v>
      </c>
      <c r="W71" t="n">
        <v>2</v>
      </c>
      <c r="X71" t="n">
        <v>2</v>
      </c>
      <c r="Z71" t="inlineStr">
        <is>
          <t>150/100</t>
        </is>
      </c>
      <c r="AA71" t="inlineStr">
        <is>
          <t>130/90</t>
        </is>
      </c>
      <c r="AB71" t="n">
        <v>5</v>
      </c>
      <c r="AC71" t="inlineStr">
        <is>
          <t>Ro ОГК незначні фіброзні зміни</t>
        </is>
      </c>
      <c r="AD71" t="n">
        <v>137</v>
      </c>
      <c r="AE71" t="n">
        <v>136</v>
      </c>
      <c r="AF71" t="n">
        <v>6.7</v>
      </c>
      <c r="AG71" t="n">
        <v>6.3</v>
      </c>
      <c r="AH71" t="n">
        <v>8</v>
      </c>
      <c r="AI71" t="n">
        <v>10</v>
      </c>
      <c r="AJ71" t="n">
        <v>54</v>
      </c>
      <c r="AK71" t="n">
        <v>64</v>
      </c>
      <c r="AL71" t="n">
        <v>34</v>
      </c>
      <c r="AM71" t="n">
        <v>18</v>
      </c>
      <c r="AN71" t="n">
        <v>23</v>
      </c>
      <c r="AO71" t="n">
        <v>4</v>
      </c>
      <c r="AP71" t="n">
        <v>38</v>
      </c>
      <c r="AQ71" t="n">
        <v>30</v>
      </c>
      <c r="AY71" t="n">
        <v>42</v>
      </c>
      <c r="AZ71" t="n">
        <v>42</v>
      </c>
      <c r="BA71" t="n">
        <v>18</v>
      </c>
      <c r="BB71" t="n">
        <v>16</v>
      </c>
      <c r="BC71" t="n">
        <v>4.21</v>
      </c>
      <c r="BD71" t="n">
        <v>3.55</v>
      </c>
      <c r="BG71" t="n">
        <v>62</v>
      </c>
      <c r="BH71" t="n">
        <v>64</v>
      </c>
      <c r="BI71" t="n">
        <v>6.9</v>
      </c>
      <c r="BJ71" t="n">
        <v>6.2</v>
      </c>
      <c r="BK71" t="n">
        <v>129</v>
      </c>
      <c r="BL71" t="n">
        <v>106</v>
      </c>
      <c r="BM71" t="n">
        <v>13.6</v>
      </c>
      <c r="BN71" t="n">
        <v>18.7</v>
      </c>
      <c r="BO71" t="n">
        <v>3.4</v>
      </c>
      <c r="BP71" t="n">
        <v>8.5</v>
      </c>
      <c r="BQ71" t="n">
        <v>10</v>
      </c>
      <c r="BR71" t="n">
        <v>10.2</v>
      </c>
      <c r="BS71" t="n">
        <v>1.1</v>
      </c>
      <c r="BT71" t="n">
        <v>1.2</v>
      </c>
      <c r="BU71" t="n">
        <v>0.8</v>
      </c>
      <c r="BV71" t="n">
        <v>0.7</v>
      </c>
      <c r="BW71" t="n">
        <v>4.8</v>
      </c>
      <c r="BX71" t="n">
        <v>5.2</v>
      </c>
      <c r="BY71" t="inlineStr">
        <is>
          <t>Поліалергетик, Аспіринова тріада</t>
        </is>
      </c>
    </row>
    <row r="72">
      <c r="A72" s="10" t="n">
        <v>2</v>
      </c>
      <c r="B72" t="n">
        <v>1444</v>
      </c>
      <c r="C72" t="inlineStr">
        <is>
          <t>Андрусяка Ірина григорівна</t>
        </is>
      </c>
      <c r="D72" t="n">
        <v>65</v>
      </c>
      <c r="E72" t="inlineStr">
        <is>
          <t>жін</t>
        </is>
      </c>
      <c r="F72" t="n">
        <v>968181378</v>
      </c>
      <c r="G72" t="inlineStr">
        <is>
          <t>НГ дв. Полісег пневмонія 4кл гр.</t>
        </is>
      </c>
      <c r="H72" t="inlineStr">
        <is>
          <t>важкий</t>
        </is>
      </c>
      <c r="I72" t="inlineStr">
        <is>
          <t>ІІ</t>
        </is>
      </c>
      <c r="K72" t="inlineStr">
        <is>
          <t xml:space="preserve">ІХС.ДК. ГХ ІІ. ЦД </t>
        </is>
      </c>
      <c r="O72" t="n">
        <v>88</v>
      </c>
      <c r="P72" t="n">
        <v>96</v>
      </c>
      <c r="Q72" t="n">
        <v>94</v>
      </c>
      <c r="R72" t="n">
        <v>10</v>
      </c>
      <c r="S72" s="2" t="n">
        <v>44635</v>
      </c>
      <c r="T72" s="2" t="n">
        <v>44653</v>
      </c>
      <c r="U72" t="n">
        <v>18</v>
      </c>
      <c r="W72" t="n">
        <v>3</v>
      </c>
      <c r="X72" t="n">
        <v>2</v>
      </c>
      <c r="Z72" t="inlineStr">
        <is>
          <t>140/90</t>
        </is>
      </c>
      <c r="AA72" t="inlineStr">
        <is>
          <t>130/80</t>
        </is>
      </c>
      <c r="AB72" t="n">
        <v>10</v>
      </c>
      <c r="AC72" t="inlineStr">
        <is>
          <t>стадія фіброзування, стан після лікування</t>
        </is>
      </c>
      <c r="AD72" t="n">
        <v>118</v>
      </c>
      <c r="AE72" t="n">
        <v>120</v>
      </c>
      <c r="AF72" t="n">
        <v>9</v>
      </c>
      <c r="AG72" t="n">
        <v>8</v>
      </c>
      <c r="AH72" t="n">
        <v>15</v>
      </c>
      <c r="AI72" t="n">
        <v>18</v>
      </c>
      <c r="AJ72" t="n">
        <v>62</v>
      </c>
      <c r="AK72" t="n">
        <v>49</v>
      </c>
      <c r="AL72" t="n">
        <v>18</v>
      </c>
      <c r="AM72" t="n">
        <v>24</v>
      </c>
      <c r="AN72" t="n">
        <v>55</v>
      </c>
      <c r="AO72" t="n">
        <v>40</v>
      </c>
      <c r="AP72" t="n">
        <v>12</v>
      </c>
      <c r="AQ72" t="n">
        <v>8</v>
      </c>
      <c r="AY72" t="n">
        <v>38</v>
      </c>
      <c r="AZ72" t="n">
        <v>37.6</v>
      </c>
      <c r="BA72" t="n">
        <v>11.5</v>
      </c>
      <c r="BB72" t="n">
        <v>9.1</v>
      </c>
      <c r="BC72" t="n">
        <v>3.94</v>
      </c>
      <c r="BD72" t="n">
        <v>6.16</v>
      </c>
      <c r="BE72" t="n">
        <v>1.12</v>
      </c>
      <c r="BF72" t="n">
        <v>0.92</v>
      </c>
      <c r="BG72" t="n">
        <v>88</v>
      </c>
      <c r="BH72" t="n">
        <v>73</v>
      </c>
      <c r="BI72" t="n">
        <v>6.4</v>
      </c>
      <c r="BJ72" t="n">
        <v>6.7</v>
      </c>
      <c r="BK72" t="n">
        <v>78</v>
      </c>
      <c r="BL72" t="n">
        <v>94</v>
      </c>
      <c r="BM72" t="n">
        <v>15.3</v>
      </c>
      <c r="BN72" t="n">
        <v>17.1</v>
      </c>
      <c r="BO72" t="n">
        <v>5.1</v>
      </c>
      <c r="BP72" t="n">
        <v>5.2</v>
      </c>
      <c r="BQ72" t="n">
        <v>10.2</v>
      </c>
      <c r="BR72" t="n">
        <v>11.9</v>
      </c>
      <c r="BS72" t="n">
        <v>37.4</v>
      </c>
      <c r="BT72" t="n">
        <v>75.40000000000001</v>
      </c>
      <c r="BU72" t="n">
        <v>30.2</v>
      </c>
      <c r="BV72" t="n">
        <v>36.2</v>
      </c>
      <c r="BW72" t="n">
        <v>22.3</v>
      </c>
      <c r="BX72" t="n">
        <v>10.8</v>
      </c>
    </row>
    <row r="73">
      <c r="A73" s="10" t="n">
        <v>2</v>
      </c>
      <c r="B73" t="n">
        <v>2572</v>
      </c>
      <c r="C73" t="inlineStr">
        <is>
          <t>Ульянчук Григорій Володимирович</t>
        </is>
      </c>
      <c r="D73" t="n">
        <v>65</v>
      </c>
      <c r="E73" t="inlineStr">
        <is>
          <t>чол</t>
        </is>
      </c>
      <c r="F73" t="inlineStr">
        <is>
          <t>0673257192 подруга</t>
        </is>
      </c>
      <c r="G73" t="inlineStr">
        <is>
          <t>НГ дв. Полісег пневмонія 4кл гр.</t>
        </is>
      </c>
      <c r="H73" t="inlineStr">
        <is>
          <t>важкий</t>
        </is>
      </c>
      <c r="I73" t="inlineStr">
        <is>
          <t>ІІ</t>
        </is>
      </c>
      <c r="K73" t="inlineStr">
        <is>
          <t>ІХС.ДК. ГХ ІІ</t>
        </is>
      </c>
      <c r="O73" t="n">
        <v>60</v>
      </c>
      <c r="P73" t="n">
        <v>97</v>
      </c>
      <c r="Q73" t="n">
        <v>93</v>
      </c>
      <c r="R73" t="n">
        <v>5</v>
      </c>
      <c r="S73" s="2" t="n">
        <v>44621</v>
      </c>
      <c r="T73" s="2" t="n">
        <v>44657</v>
      </c>
      <c r="U73" t="n">
        <v>36</v>
      </c>
      <c r="W73" t="n">
        <v>3</v>
      </c>
      <c r="X73" t="n">
        <v>5</v>
      </c>
      <c r="Y73" t="n">
        <v>2</v>
      </c>
      <c r="Z73" t="inlineStr">
        <is>
          <t>130/80</t>
        </is>
      </c>
      <c r="AA73" t="inlineStr">
        <is>
          <t>130/80</t>
        </is>
      </c>
      <c r="AB73" t="n">
        <v>33</v>
      </c>
      <c r="AC73" t="inlineStr">
        <is>
          <t>стадія фіброзування, стан після лікування</t>
        </is>
      </c>
      <c r="AD73" t="n">
        <v>143</v>
      </c>
      <c r="AE73" t="n">
        <v>107</v>
      </c>
      <c r="AF73" t="n">
        <v>16.5</v>
      </c>
      <c r="AG73" t="n">
        <v>21.7</v>
      </c>
      <c r="AH73" t="n">
        <v>18</v>
      </c>
      <c r="AI73" t="n">
        <v>17</v>
      </c>
      <c r="AJ73" t="n">
        <v>74</v>
      </c>
      <c r="AK73" t="n">
        <v>68</v>
      </c>
      <c r="AL73" t="n">
        <v>6</v>
      </c>
      <c r="AM73" t="n">
        <v>9</v>
      </c>
      <c r="AN73" t="n">
        <v>61</v>
      </c>
      <c r="AO73" t="n">
        <v>34</v>
      </c>
      <c r="AP73" t="n">
        <v>21</v>
      </c>
      <c r="AQ73" t="n">
        <v>18</v>
      </c>
      <c r="AY73" t="n">
        <v>50</v>
      </c>
      <c r="AZ73" t="n">
        <v>40</v>
      </c>
      <c r="BA73" t="n">
        <v>9.9</v>
      </c>
      <c r="BB73" t="n">
        <v>10.4</v>
      </c>
      <c r="BC73" t="n">
        <v>7.06</v>
      </c>
      <c r="BD73" t="n">
        <v>8.869999999999999</v>
      </c>
      <c r="BE73" t="n">
        <v>0.97</v>
      </c>
      <c r="BF73" t="n">
        <v>1.02</v>
      </c>
      <c r="BG73" t="n">
        <v>76</v>
      </c>
      <c r="BH73" t="n">
        <v>54</v>
      </c>
      <c r="BI73" t="n">
        <v>6.4</v>
      </c>
      <c r="BJ73" t="n">
        <v>6.2</v>
      </c>
      <c r="BK73" t="n">
        <v>91</v>
      </c>
      <c r="BL73" t="n">
        <v>90</v>
      </c>
      <c r="BM73" t="n">
        <v>13.6</v>
      </c>
      <c r="BN73" t="n">
        <v>18.7</v>
      </c>
      <c r="BO73" t="n">
        <v>3.4</v>
      </c>
      <c r="BP73" t="n">
        <v>6.8</v>
      </c>
      <c r="BQ73" t="n">
        <v>10.2</v>
      </c>
      <c r="BR73" t="n">
        <v>11.8</v>
      </c>
      <c r="BS73" t="n">
        <v>52.4</v>
      </c>
      <c r="BT73" t="n">
        <v>52.1</v>
      </c>
      <c r="BU73" t="n">
        <v>60.4</v>
      </c>
      <c r="BV73" t="n">
        <v>32.1</v>
      </c>
      <c r="BW73" t="n">
        <v>6.8</v>
      </c>
      <c r="BX73" t="n">
        <v>4.4</v>
      </c>
    </row>
    <row r="74">
      <c r="A74" s="10" t="n">
        <v>2</v>
      </c>
      <c r="B74" t="n">
        <v>314</v>
      </c>
      <c r="C74" t="inlineStr">
        <is>
          <t>Гамалійа Юлія Андріївна</t>
        </is>
      </c>
      <c r="D74" t="n">
        <v>67</v>
      </c>
      <c r="E74" t="inlineStr">
        <is>
          <t>жін</t>
        </is>
      </c>
      <c r="F74" t="inlineStr">
        <is>
          <t>0637613414 дочка Софія</t>
        </is>
      </c>
      <c r="G74" t="inlineStr">
        <is>
          <t>НГ дв. Полісег пневмонія 4кл гр.</t>
        </is>
      </c>
      <c r="H74" t="inlineStr">
        <is>
          <t>важкий</t>
        </is>
      </c>
      <c r="I74" t="inlineStr">
        <is>
          <t>ІІ</t>
        </is>
      </c>
      <c r="K74" t="inlineStr">
        <is>
          <t>ІХС.ДК. ГХ ІІ</t>
        </is>
      </c>
      <c r="O74" t="n">
        <v>80</v>
      </c>
      <c r="P74" t="n">
        <v>93</v>
      </c>
      <c r="Q74" t="n">
        <v>93</v>
      </c>
      <c r="R74" t="n">
        <v>10</v>
      </c>
      <c r="S74" s="2" t="n">
        <v>44648</v>
      </c>
      <c r="T74" s="2" t="n">
        <v>44667</v>
      </c>
      <c r="U74" t="n">
        <v>19</v>
      </c>
      <c r="W74" t="n">
        <v>4</v>
      </c>
      <c r="X74" t="n">
        <v>2</v>
      </c>
      <c r="Z74" t="inlineStr">
        <is>
          <t>150/100</t>
        </is>
      </c>
      <c r="AA74" t="inlineStr">
        <is>
          <t>130/85</t>
        </is>
      </c>
      <c r="AB74" t="n">
        <v>11</v>
      </c>
      <c r="AC74" t="inlineStr">
        <is>
          <t>незначні фіброзні зміни</t>
        </is>
      </c>
      <c r="AD74" t="n">
        <v>106</v>
      </c>
      <c r="AE74" t="n">
        <v>113</v>
      </c>
      <c r="AF74" t="n">
        <v>2.3</v>
      </c>
      <c r="AG74" t="n">
        <v>6.3</v>
      </c>
      <c r="AH74" t="n">
        <v>11</v>
      </c>
      <c r="AI74" t="n">
        <v>11</v>
      </c>
      <c r="AJ74" t="n">
        <v>72</v>
      </c>
      <c r="AK74" t="n">
        <v>61</v>
      </c>
      <c r="AL74" t="n">
        <v>12</v>
      </c>
      <c r="AM74" t="n">
        <v>16</v>
      </c>
      <c r="AN74" t="n">
        <v>16</v>
      </c>
      <c r="AO74" t="n">
        <v>9</v>
      </c>
      <c r="AP74" t="n">
        <v>12</v>
      </c>
      <c r="AQ74" t="n">
        <v>8</v>
      </c>
      <c r="AU74" t="n">
        <v>402</v>
      </c>
      <c r="AX74" t="n">
        <v>0.1</v>
      </c>
      <c r="AY74" t="n">
        <v>33</v>
      </c>
      <c r="AZ74" t="n">
        <v>35</v>
      </c>
      <c r="BA74" t="n">
        <v>11.1</v>
      </c>
      <c r="BB74" t="n">
        <v>15.5</v>
      </c>
      <c r="BC74" t="n">
        <v>5.5</v>
      </c>
      <c r="BD74" t="n">
        <v>2.35</v>
      </c>
      <c r="BE74" t="n">
        <v>1.08</v>
      </c>
      <c r="BF74" t="n">
        <v>1.46</v>
      </c>
      <c r="BG74" t="n">
        <v>58</v>
      </c>
      <c r="BH74" t="n">
        <v>87</v>
      </c>
      <c r="BI74" t="n">
        <v>7.6</v>
      </c>
      <c r="BJ74" t="n">
        <v>6.5</v>
      </c>
      <c r="BK74" t="n">
        <v>103</v>
      </c>
      <c r="BL74" t="n">
        <v>92</v>
      </c>
      <c r="BM74" t="n">
        <v>18.7</v>
      </c>
      <c r="BN74" t="n">
        <v>11.9</v>
      </c>
      <c r="BO74" t="n">
        <v>6.8</v>
      </c>
      <c r="BP74" t="n">
        <v>3.4</v>
      </c>
      <c r="BQ74" t="n">
        <v>11.9</v>
      </c>
      <c r="BR74" t="n">
        <v>8.5</v>
      </c>
      <c r="BS74" t="n">
        <v>52.4</v>
      </c>
      <c r="BT74" t="n">
        <v>22.3</v>
      </c>
      <c r="BU74" t="n">
        <v>36.2</v>
      </c>
      <c r="BV74" t="n">
        <v>18.1</v>
      </c>
      <c r="BW74" t="n">
        <v>5</v>
      </c>
      <c r="BX74" t="n">
        <v>8.300000000000001</v>
      </c>
    </row>
    <row r="75" customFormat="1" s="5">
      <c r="A75" s="5" t="n">
        <v>1</v>
      </c>
      <c r="B75" s="5" t="n">
        <v>2063</v>
      </c>
      <c r="C75" s="5" t="inlineStr">
        <is>
          <t>Єрмолюка Оксана Григорівна</t>
        </is>
      </c>
      <c r="D75" s="5" t="n">
        <v>62</v>
      </c>
      <c r="E75" s="5" t="inlineStr">
        <is>
          <t>жін</t>
        </is>
      </c>
      <c r="F75" s="5" t="inlineStr">
        <is>
          <t>0960053051 дочка Наталія</t>
        </is>
      </c>
      <c r="G75" s="5" t="inlineStr">
        <is>
          <t>НГ дв. Полісег пневмонія4кл.гр.</t>
        </is>
      </c>
      <c r="H75" s="5" t="inlineStr">
        <is>
          <t>важкий</t>
        </is>
      </c>
      <c r="I75" s="5" t="inlineStr">
        <is>
          <t>ІІІ</t>
        </is>
      </c>
      <c r="J75" s="5" t="inlineStr">
        <is>
          <t xml:space="preserve">ГРДС </t>
        </is>
      </c>
      <c r="K75" s="5" t="inlineStr">
        <is>
          <t>ІХС.ДК. ГХ ІІ. ЦД .Рак молочної з-зи. Маніакал-депрес синдром</t>
        </is>
      </c>
      <c r="O75" s="5" t="n">
        <v>86</v>
      </c>
      <c r="P75" s="5" t="n">
        <v>96</v>
      </c>
      <c r="Q75" s="5" t="n">
        <v>0</v>
      </c>
      <c r="R75" s="5" t="n">
        <v>10</v>
      </c>
      <c r="S75" s="6" t="n">
        <v>44653</v>
      </c>
      <c r="T75" s="6" t="n">
        <v>44677</v>
      </c>
      <c r="U75" s="5" t="n">
        <v>24</v>
      </c>
      <c r="V75" s="6" t="n">
        <v>44678</v>
      </c>
      <c r="X75" s="6" t="n"/>
      <c r="Z75" s="5" t="inlineStr">
        <is>
          <t>150/100</t>
        </is>
      </c>
      <c r="AA75" s="5" t="inlineStr">
        <is>
          <t>140/80</t>
        </is>
      </c>
      <c r="AB75" s="5" t="n">
        <v>24</v>
      </c>
      <c r="AC75" s="5" t="inlineStr">
        <is>
          <t>Фіброзні зміни дифузний тип</t>
        </is>
      </c>
      <c r="AD75" s="5" t="n">
        <v>121</v>
      </c>
      <c r="AE75" s="5" t="n">
        <v>123</v>
      </c>
      <c r="AF75" s="5" t="n">
        <v>7</v>
      </c>
      <c r="AG75" s="5" t="n">
        <v>13.5</v>
      </c>
      <c r="AH75" s="5" t="n">
        <v>14</v>
      </c>
      <c r="AI75" s="5" t="n">
        <v>3</v>
      </c>
      <c r="AJ75" s="5" t="n">
        <v>68</v>
      </c>
      <c r="AK75" s="5" t="n">
        <v>91</v>
      </c>
      <c r="AL75" s="5" t="n">
        <v>13</v>
      </c>
      <c r="AM75" s="5" t="n">
        <v>4</v>
      </c>
      <c r="AN75" s="5" t="n">
        <v>37</v>
      </c>
      <c r="AO75" s="5" t="n">
        <v>45</v>
      </c>
      <c r="AP75" s="5" t="n">
        <v>12</v>
      </c>
      <c r="AQ75" s="5" t="n">
        <v>10</v>
      </c>
      <c r="AU75" s="5" t="n">
        <v>1004</v>
      </c>
      <c r="AV75" s="5" t="n">
        <v>0.72</v>
      </c>
      <c r="AY75" s="5" t="n">
        <v>40</v>
      </c>
      <c r="AZ75" s="5" t="n">
        <v>36.8</v>
      </c>
      <c r="BA75" s="5" t="n">
        <v>15.8</v>
      </c>
      <c r="BB75" s="5" t="n">
        <v>12.5</v>
      </c>
      <c r="BC75" s="5" t="n">
        <v>7</v>
      </c>
      <c r="BD75" s="5" t="n">
        <v>5.05</v>
      </c>
      <c r="BE75" s="5" t="n">
        <v>1.48</v>
      </c>
      <c r="BF75" s="5" t="n">
        <v>1.2</v>
      </c>
      <c r="BG75" s="5" t="n">
        <v>68</v>
      </c>
      <c r="BH75" s="5" t="n">
        <v>81</v>
      </c>
      <c r="BI75" s="5" t="n">
        <v>10.2</v>
      </c>
      <c r="BJ75" s="5" t="n">
        <v>13.6</v>
      </c>
      <c r="BK75" s="5" t="n">
        <v>129</v>
      </c>
      <c r="BL75" s="5" t="n">
        <v>137</v>
      </c>
      <c r="BM75" s="5" t="n">
        <v>11.9</v>
      </c>
      <c r="BN75" s="5" t="n">
        <v>10.9</v>
      </c>
      <c r="BO75" s="5" t="n">
        <v>3.4</v>
      </c>
      <c r="BP75" s="5" t="n">
        <v>3.9</v>
      </c>
      <c r="BQ75" s="5" t="n">
        <v>8.5</v>
      </c>
      <c r="BR75" s="5" t="n">
        <v>9.1</v>
      </c>
      <c r="BS75" s="5" t="n">
        <v>30.2</v>
      </c>
      <c r="BT75" s="5" t="n">
        <v>30.2</v>
      </c>
      <c r="BU75" s="5" t="n">
        <v>22.1</v>
      </c>
      <c r="BV75" s="5" t="n">
        <v>24.1</v>
      </c>
      <c r="BW75" s="5" t="n">
        <v>13.5</v>
      </c>
      <c r="BX75" s="5" t="n">
        <v>14</v>
      </c>
    </row>
    <row r="76" customFormat="1" s="5">
      <c r="A76" s="5" t="n">
        <v>1</v>
      </c>
      <c r="B76" s="5" t="n">
        <v>2292</v>
      </c>
      <c r="C76" s="5" t="inlineStr">
        <is>
          <t>Цвігуна Софія Павлівна</t>
        </is>
      </c>
      <c r="D76" s="5" t="n">
        <v>75</v>
      </c>
      <c r="E76" s="5" t="inlineStr">
        <is>
          <t>жін</t>
        </is>
      </c>
      <c r="F76" s="5" t="inlineStr">
        <is>
          <t>0997605538 син Микола</t>
        </is>
      </c>
      <c r="G76" s="5" t="inlineStr">
        <is>
          <t>НГ дв. Полісег пневмонія 4кл гр.</t>
        </is>
      </c>
      <c r="H76" s="5" t="inlineStr">
        <is>
          <t>важкий</t>
        </is>
      </c>
      <c r="I76" s="5" t="inlineStr">
        <is>
          <t>ІІІ</t>
        </is>
      </c>
      <c r="J76" s="5" t="inlineStr">
        <is>
          <t xml:space="preserve">ГРДС </t>
        </is>
      </c>
      <c r="K76" s="5" t="inlineStr">
        <is>
          <t>ІХС.ДК. ГХ ІІ. ЦД .Рак лівої молочної з-зи. Хронічна анемія</t>
        </is>
      </c>
      <c r="O76" s="5" t="n">
        <v>65</v>
      </c>
      <c r="P76" s="5" t="n">
        <v>92</v>
      </c>
      <c r="Q76" s="5" t="n">
        <v>0</v>
      </c>
      <c r="R76" s="5" t="n">
        <v>14</v>
      </c>
      <c r="S76" s="6" t="n">
        <v>44659</v>
      </c>
      <c r="T76" s="12" t="inlineStr">
        <is>
          <t>24.024.2021</t>
        </is>
      </c>
      <c r="U76" s="5" t="n">
        <v>16</v>
      </c>
      <c r="V76" s="6" t="n">
        <v>44675</v>
      </c>
      <c r="W76" s="5" t="n">
        <v>2</v>
      </c>
      <c r="X76" s="5" t="n">
        <v>6</v>
      </c>
      <c r="Z76" s="5" t="inlineStr">
        <is>
          <t>160/100</t>
        </is>
      </c>
      <c r="AA76" s="5" t="inlineStr">
        <is>
          <t>170/90</t>
        </is>
      </c>
      <c r="AB76" s="5" t="n">
        <v>16</v>
      </c>
      <c r="AC76" s="5" t="inlineStr">
        <is>
          <t>множинні вогнища ущільнення</t>
        </is>
      </c>
      <c r="AD76" s="5" t="n">
        <v>81</v>
      </c>
      <c r="AE76" s="5" t="n">
        <v>51</v>
      </c>
      <c r="AF76" s="5" t="n">
        <v>12.3</v>
      </c>
      <c r="AG76" s="5" t="n">
        <v>13.3</v>
      </c>
      <c r="AH76" s="5" t="n">
        <v>21</v>
      </c>
      <c r="AI76" s="5" t="n">
        <v>14</v>
      </c>
      <c r="AJ76" s="5" t="n">
        <v>71</v>
      </c>
      <c r="AK76" s="5" t="n">
        <v>82</v>
      </c>
      <c r="AL76" s="5" t="n">
        <v>2</v>
      </c>
      <c r="AM76" s="5" t="n">
        <v>6</v>
      </c>
      <c r="AN76" s="5" t="n">
        <v>72</v>
      </c>
      <c r="AO76" s="5" t="n">
        <v>58</v>
      </c>
      <c r="AP76" s="5" t="n">
        <v>13</v>
      </c>
      <c r="AQ76" s="5" t="n">
        <v>8</v>
      </c>
      <c r="AY76" s="5" t="n">
        <v>25.2</v>
      </c>
      <c r="AZ76" s="5" t="n">
        <v>16</v>
      </c>
      <c r="BA76" s="5" t="n">
        <v>11.1</v>
      </c>
      <c r="BB76" s="5" t="n">
        <v>16.1</v>
      </c>
      <c r="BC76" s="5" t="n">
        <v>5.9</v>
      </c>
      <c r="BD76" s="5" t="n">
        <v>5.11</v>
      </c>
      <c r="BE76" s="5" t="n">
        <v>1.08</v>
      </c>
      <c r="BF76" s="5" t="n">
        <v>1.51</v>
      </c>
      <c r="BG76" s="5" t="n">
        <v>67</v>
      </c>
      <c r="BH76" s="5" t="n">
        <v>68</v>
      </c>
      <c r="BI76" s="5" t="n">
        <v>60</v>
      </c>
      <c r="BJ76" s="5" t="n">
        <v>70</v>
      </c>
      <c r="BK76" s="5" t="n">
        <v>95</v>
      </c>
      <c r="BL76" s="5" t="n">
        <v>109</v>
      </c>
      <c r="BM76" s="5" t="n">
        <v>15.8</v>
      </c>
      <c r="BN76" s="5" t="n">
        <v>15.3</v>
      </c>
      <c r="BO76" s="5" t="n">
        <v>5.6</v>
      </c>
      <c r="BP76" s="5" t="n">
        <v>5.1</v>
      </c>
      <c r="BQ76" s="5" t="n">
        <v>10.6</v>
      </c>
      <c r="BR76" s="5" t="n">
        <v>10.2</v>
      </c>
      <c r="BS76" s="5" t="n">
        <v>30.2</v>
      </c>
      <c r="BT76" s="5" t="n">
        <v>52.4</v>
      </c>
      <c r="BU76" s="5" t="n">
        <v>28.4</v>
      </c>
      <c r="BV76" s="5" t="n">
        <v>36.4</v>
      </c>
      <c r="BW76" s="5" t="n">
        <v>6</v>
      </c>
      <c r="BX76" s="5" t="n">
        <v>6.5</v>
      </c>
      <c r="BY76" s="5" t="inlineStr">
        <is>
          <t>Переливання крові</t>
        </is>
      </c>
    </row>
    <row r="77" customFormat="1" s="5">
      <c r="A77" s="5" t="n">
        <v>1</v>
      </c>
      <c r="B77" s="5" t="n">
        <v>1015</v>
      </c>
      <c r="C77" s="5" t="inlineStr">
        <is>
          <t xml:space="preserve">Яворський Павло Романович </t>
        </is>
      </c>
      <c r="D77" s="5" t="n">
        <v>71</v>
      </c>
      <c r="E77" s="5" t="inlineStr">
        <is>
          <t>чол</t>
        </is>
      </c>
      <c r="F77" s="5" t="inlineStr">
        <is>
          <t>072761514 дочка Катерина</t>
        </is>
      </c>
      <c r="G77" s="5" t="inlineStr">
        <is>
          <t>НГ дв. Полісег пневмонія 4кл гр.</t>
        </is>
      </c>
      <c r="H77" s="5" t="inlineStr">
        <is>
          <t>важкий</t>
        </is>
      </c>
      <c r="I77" s="5" t="inlineStr">
        <is>
          <t>ІІІ</t>
        </is>
      </c>
      <c r="J77" s="5" t="inlineStr">
        <is>
          <t xml:space="preserve">ГРДС </t>
        </is>
      </c>
      <c r="K77" s="5" t="inlineStr">
        <is>
          <t>ІХС.ДК. ХОЗЛ. ГХ ІІ</t>
        </is>
      </c>
      <c r="O77" s="5" t="n">
        <v>62</v>
      </c>
      <c r="P77" s="5" t="n">
        <v>88</v>
      </c>
      <c r="Q77" s="5" t="n">
        <v>0</v>
      </c>
      <c r="R77" s="5" t="n">
        <v>9</v>
      </c>
      <c r="S77" s="6" t="n">
        <v>44665</v>
      </c>
      <c r="T77" s="12" t="inlineStr">
        <is>
          <t>20.24.2021</t>
        </is>
      </c>
      <c r="U77" s="5" t="n">
        <v>6</v>
      </c>
      <c r="V77" s="6" t="n">
        <v>44671</v>
      </c>
      <c r="W77" s="5" t="n">
        <v>3</v>
      </c>
      <c r="X77" s="5" t="n">
        <v>4</v>
      </c>
      <c r="Y77" s="5" t="n">
        <v>2</v>
      </c>
      <c r="Z77" s="5" t="inlineStr">
        <is>
          <t>150/100</t>
        </is>
      </c>
      <c r="AA77" s="5" t="inlineStr">
        <is>
          <t>130/90</t>
        </is>
      </c>
      <c r="AB77" s="5" t="n">
        <v>6</v>
      </c>
      <c r="AC77" s="5" t="inlineStr">
        <is>
          <t xml:space="preserve"> "білі легені " </t>
        </is>
      </c>
      <c r="AD77" s="5" t="n">
        <v>135</v>
      </c>
      <c r="AE77" s="5" t="n">
        <v>81</v>
      </c>
      <c r="AF77" s="5" t="n">
        <v>6.5</v>
      </c>
      <c r="AG77" s="5" t="n">
        <v>8.699999999999999</v>
      </c>
      <c r="AH77" s="5" t="n">
        <v>27</v>
      </c>
      <c r="AI77" s="5" t="n">
        <v>13</v>
      </c>
      <c r="AJ77" s="5" t="n">
        <v>55</v>
      </c>
      <c r="AK77" s="5" t="n">
        <v>79</v>
      </c>
      <c r="AL77" s="5" t="n">
        <v>16</v>
      </c>
      <c r="AM77" s="5" t="n">
        <v>4</v>
      </c>
      <c r="AN77" s="5" t="n">
        <v>36</v>
      </c>
      <c r="AO77" s="5" t="n">
        <v>7</v>
      </c>
      <c r="AP77" s="5" t="n">
        <v>12</v>
      </c>
      <c r="AQ77" s="5" t="n">
        <v>24</v>
      </c>
      <c r="AR77" s="5" t="n">
        <v>9.720000000000001</v>
      </c>
      <c r="AY77" s="5" t="n">
        <v>41</v>
      </c>
      <c r="AZ77" s="5" t="n">
        <v>30</v>
      </c>
      <c r="BA77" s="5" t="n">
        <v>12.4</v>
      </c>
      <c r="BB77" s="5" t="n">
        <v>15.2</v>
      </c>
      <c r="BC77" s="5" t="n">
        <v>7.6</v>
      </c>
      <c r="BD77" s="5" t="n">
        <v>3.09</v>
      </c>
      <c r="BE77" s="5" t="n">
        <v>1.16</v>
      </c>
      <c r="BF77" s="5" t="n">
        <v>1.2</v>
      </c>
      <c r="BG77" s="5" t="n">
        <v>78</v>
      </c>
      <c r="BH77" s="5" t="n">
        <v>59</v>
      </c>
      <c r="BI77" s="5" t="n">
        <v>5.8</v>
      </c>
      <c r="BJ77" s="5" t="n">
        <v>5.6</v>
      </c>
      <c r="BK77" s="5" t="n">
        <v>85</v>
      </c>
      <c r="BL77" s="5" t="n">
        <v>89</v>
      </c>
      <c r="BM77" s="5" t="n">
        <v>11.9</v>
      </c>
      <c r="BN77" s="5" t="n">
        <v>15.3</v>
      </c>
      <c r="BO77" s="5" t="n">
        <v>3.4</v>
      </c>
      <c r="BP77" s="5" t="n">
        <v>5.1</v>
      </c>
      <c r="BQ77" s="5" t="n">
        <v>8.5</v>
      </c>
      <c r="BR77" s="5" t="n">
        <v>10.2</v>
      </c>
      <c r="BS77" s="5" t="n">
        <v>30.2</v>
      </c>
      <c r="BT77" s="5" t="n">
        <v>90.40000000000001</v>
      </c>
      <c r="BU77" s="5" t="n">
        <v>22.1</v>
      </c>
      <c r="BV77" s="5" t="n">
        <v>60.4</v>
      </c>
      <c r="BW77" s="5" t="n">
        <v>9</v>
      </c>
      <c r="BX77" s="5" t="n">
        <v>10.6</v>
      </c>
    </row>
    <row r="78" customFormat="1" s="5">
      <c r="A78" s="5" t="n">
        <v>1</v>
      </c>
      <c r="B78" s="5" t="n">
        <v>1192</v>
      </c>
      <c r="C78" s="5" t="inlineStr">
        <is>
          <t xml:space="preserve">Шевчука Марія Григорівна </t>
        </is>
      </c>
      <c r="D78" s="5" t="n">
        <v>72</v>
      </c>
      <c r="E78" s="5" t="inlineStr">
        <is>
          <t>жін</t>
        </is>
      </c>
      <c r="F78" s="5" t="inlineStr">
        <is>
          <t>06762394249 брат Роман</t>
        </is>
      </c>
      <c r="G78" s="5" t="inlineStr">
        <is>
          <t>НГ дв. Полісег пневмонія 4кл гр.</t>
        </is>
      </c>
      <c r="H78" s="5" t="inlineStr">
        <is>
          <t>важкий</t>
        </is>
      </c>
      <c r="I78" s="5" t="inlineStr">
        <is>
          <t>ІІІ</t>
        </is>
      </c>
      <c r="J78" s="5" t="inlineStr">
        <is>
          <t>ГРДС .ТЕЛА</t>
        </is>
      </c>
      <c r="K78" s="5" t="inlineStr">
        <is>
          <t>ІХС.ДК.  ГХ ІІІ</t>
        </is>
      </c>
      <c r="O78" s="5" t="n">
        <v>80</v>
      </c>
      <c r="P78" s="5" t="n">
        <v>94</v>
      </c>
      <c r="Q78" s="5" t="n">
        <v>0</v>
      </c>
      <c r="R78" s="5" t="n">
        <v>15</v>
      </c>
      <c r="S78" s="6" t="n">
        <v>44656</v>
      </c>
      <c r="T78" s="6" t="n">
        <v>44663</v>
      </c>
      <c r="U78" s="5" t="n">
        <v>7</v>
      </c>
      <c r="V78" s="6" t="n">
        <v>44664</v>
      </c>
      <c r="W78" s="5" t="n">
        <v>2</v>
      </c>
      <c r="X78" s="5" t="n">
        <v>3</v>
      </c>
      <c r="Z78" s="5" t="inlineStr">
        <is>
          <t>160/100</t>
        </is>
      </c>
      <c r="AA78" s="5" t="inlineStr">
        <is>
          <t>140/90</t>
        </is>
      </c>
      <c r="AB78" s="5" t="n">
        <v>7</v>
      </c>
      <c r="AC78" s="5" t="inlineStr">
        <is>
          <t>множинні вогнища ущільнення</t>
        </is>
      </c>
      <c r="AD78" s="5" t="n">
        <v>132</v>
      </c>
      <c r="AE78" s="5" t="n">
        <v>102</v>
      </c>
      <c r="AF78" s="5" t="n">
        <v>23.6</v>
      </c>
      <c r="AG78" s="5" t="n">
        <v>6.2</v>
      </c>
      <c r="AH78" s="5" t="n">
        <v>14</v>
      </c>
      <c r="AI78" s="5" t="n">
        <v>26</v>
      </c>
      <c r="AJ78" s="5" t="n">
        <v>65</v>
      </c>
      <c r="AK78" s="5" t="n">
        <v>67</v>
      </c>
      <c r="AL78" s="5" t="n">
        <v>15</v>
      </c>
      <c r="AM78" s="5" t="n">
        <v>2</v>
      </c>
      <c r="AN78" s="5" t="n">
        <v>26</v>
      </c>
      <c r="AO78" s="5" t="n">
        <v>15</v>
      </c>
      <c r="AP78" s="5" t="n">
        <v>15</v>
      </c>
      <c r="AQ78" s="5" t="n">
        <v>6</v>
      </c>
      <c r="AR78" s="5" t="n">
        <v>8.52</v>
      </c>
      <c r="AU78" s="5" t="n">
        <v>1581</v>
      </c>
      <c r="AX78" s="5" t="n">
        <v>0.1</v>
      </c>
      <c r="AY78" s="5" t="n">
        <v>32</v>
      </c>
      <c r="BA78" s="5" t="n">
        <v>16.1</v>
      </c>
      <c r="BC78" s="5" t="n">
        <v>3.04</v>
      </c>
      <c r="BE78" s="5" t="n">
        <v>1.5</v>
      </c>
      <c r="BG78" s="5" t="n">
        <v>69</v>
      </c>
      <c r="BI78" s="5" t="n">
        <v>10.1</v>
      </c>
      <c r="BK78" s="5" t="n">
        <v>115</v>
      </c>
      <c r="BM78" s="5" t="n">
        <v>13.6</v>
      </c>
      <c r="BO78" s="5" t="n">
        <v>3.4</v>
      </c>
      <c r="BQ78" s="5" t="n">
        <v>10.3</v>
      </c>
      <c r="BS78" s="5" t="n">
        <v>60.3</v>
      </c>
      <c r="BU78" s="5" t="n">
        <v>48.2</v>
      </c>
      <c r="BW78" s="5" t="n">
        <v>10.2</v>
      </c>
      <c r="BY78" s="5" t="inlineStr">
        <is>
          <t>Поліалергетик</t>
        </is>
      </c>
    </row>
    <row r="79" customFormat="1" s="5">
      <c r="A79" s="5" t="n">
        <v>1</v>
      </c>
      <c r="B79" s="5" t="n">
        <v>384</v>
      </c>
      <c r="C79" s="5" t="inlineStr">
        <is>
          <t>Заячука Софія Олегівна</t>
        </is>
      </c>
      <c r="D79" s="5" t="n">
        <v>71</v>
      </c>
      <c r="E79" s="5" t="inlineStr">
        <is>
          <t>жін</t>
        </is>
      </c>
      <c r="F79" s="5" t="inlineStr">
        <is>
          <t>0969974535 дочка Юлія</t>
        </is>
      </c>
      <c r="G79" s="5" t="inlineStr">
        <is>
          <t>НГ дв. Полісег пневмонія 4кл гр.</t>
        </is>
      </c>
      <c r="H79" s="5" t="inlineStr">
        <is>
          <t>важкий</t>
        </is>
      </c>
      <c r="I79" s="5" t="inlineStr">
        <is>
          <t>ІІІ</t>
        </is>
      </c>
      <c r="J79" s="5" t="inlineStr">
        <is>
          <t xml:space="preserve">ГРДС </t>
        </is>
      </c>
      <c r="K79" s="5" t="inlineStr">
        <is>
          <t>ІХС.ДК.  Хронічна анемія</t>
        </is>
      </c>
      <c r="O79" s="5" t="n">
        <v>86</v>
      </c>
      <c r="P79" s="5" t="n">
        <v>92</v>
      </c>
      <c r="Q79" s="5" t="n">
        <v>0</v>
      </c>
      <c r="R79" s="5" t="n">
        <v>14</v>
      </c>
      <c r="S79" s="6" t="n">
        <v>44650</v>
      </c>
      <c r="T79" s="6" t="n">
        <v>44621</v>
      </c>
      <c r="U79" s="5" t="n">
        <v>32</v>
      </c>
      <c r="V79" s="6" t="n">
        <v>44682</v>
      </c>
      <c r="X79" s="6" t="n"/>
      <c r="Y79" s="5" t="n">
        <v>2</v>
      </c>
      <c r="Z79" s="5" t="inlineStr">
        <is>
          <t>100/70</t>
        </is>
      </c>
      <c r="AA79" s="5" t="inlineStr">
        <is>
          <t>90/60</t>
        </is>
      </c>
      <c r="AB79" s="5" t="n">
        <v>32</v>
      </c>
      <c r="AC79" s="5" t="inlineStr">
        <is>
          <t>множинні вогнища ущільнення</t>
        </is>
      </c>
      <c r="AD79" s="12" t="inlineStr">
        <is>
          <t>гемоліз</t>
        </is>
      </c>
      <c r="AU79" s="5" t="n">
        <v>364</v>
      </c>
      <c r="AX79" s="5" t="n">
        <v>0.1</v>
      </c>
      <c r="AY79" s="5" t="n">
        <v>43</v>
      </c>
      <c r="BA79" s="5" t="n">
        <v>11.9</v>
      </c>
      <c r="BC79" s="5" t="n">
        <v>5.07</v>
      </c>
      <c r="BE79" s="5" t="n">
        <v>1.15</v>
      </c>
      <c r="BG79" s="5" t="n">
        <v>80</v>
      </c>
      <c r="BH79" s="5" t="n">
        <v>54</v>
      </c>
      <c r="BI79" s="5" t="n">
        <v>4.8</v>
      </c>
      <c r="BJ79" s="5" t="n">
        <v>8.6</v>
      </c>
      <c r="BK79" s="5" t="n">
        <v>69</v>
      </c>
      <c r="BL79" s="5" t="n">
        <v>114</v>
      </c>
      <c r="BM79" s="5" t="n">
        <v>11.9</v>
      </c>
      <c r="BN79" s="5" t="n">
        <v>15.3</v>
      </c>
      <c r="BO79" s="5" t="n">
        <v>3.4</v>
      </c>
      <c r="BP79" s="5" t="n">
        <v>5.1</v>
      </c>
      <c r="BQ79" s="5" t="n">
        <v>8.5</v>
      </c>
      <c r="BR79" s="5" t="n">
        <v>10.2</v>
      </c>
      <c r="BS79" s="5" t="n">
        <v>37.7</v>
      </c>
      <c r="BT79" s="5" t="n">
        <v>52.4</v>
      </c>
      <c r="BU79" s="5" t="n">
        <v>22.1</v>
      </c>
      <c r="BV79" s="5" t="n">
        <v>42.2</v>
      </c>
      <c r="BW79" s="5" t="n">
        <v>6.5</v>
      </c>
      <c r="BX79" s="5" t="n">
        <v>15.4</v>
      </c>
    </row>
    <row r="80" customFormat="1" s="5">
      <c r="A80" s="5" t="n">
        <v>1</v>
      </c>
      <c r="B80" s="5" t="n">
        <v>344</v>
      </c>
      <c r="C80" s="5" t="inlineStr">
        <is>
          <t>Перепелюка Наталія Василівна</t>
        </is>
      </c>
      <c r="D80" s="5" t="n">
        <v>49</v>
      </c>
      <c r="E80" s="5" t="inlineStr">
        <is>
          <t>жін</t>
        </is>
      </c>
      <c r="G80" s="5" t="inlineStr">
        <is>
          <t>НГ дв. Полісег пневмонія 4кл гр.</t>
        </is>
      </c>
      <c r="H80" s="5" t="inlineStr">
        <is>
          <t>важкий</t>
        </is>
      </c>
      <c r="I80" s="5" t="inlineStr">
        <is>
          <t>ІІІ</t>
        </is>
      </c>
      <c r="J80" s="5" t="inlineStr">
        <is>
          <t xml:space="preserve">ГРДС .ТЕЛА.Поліорганна недостатність </t>
        </is>
      </c>
      <c r="K80" s="5" t="inlineStr">
        <is>
          <t xml:space="preserve">ІХС.ДК. ЦД. Рак лівої молочної з-зи. </t>
        </is>
      </c>
      <c r="O80" s="5" t="n">
        <v>78</v>
      </c>
      <c r="P80" s="5" t="n">
        <v>90</v>
      </c>
      <c r="Q80" s="5" t="n">
        <v>0</v>
      </c>
      <c r="R80" s="5" t="n">
        <v>3</v>
      </c>
      <c r="S80" s="6" t="n">
        <v>44645</v>
      </c>
      <c r="T80" s="6" t="n">
        <v>44718</v>
      </c>
      <c r="U80" s="5" t="n">
        <v>73</v>
      </c>
      <c r="V80" s="6" t="n">
        <v>44719</v>
      </c>
      <c r="W80" s="6" t="inlineStr">
        <is>
          <t>7.</t>
        </is>
      </c>
      <c r="X80" s="5" t="n">
        <v>3</v>
      </c>
      <c r="Y80" s="15" t="inlineStr">
        <is>
          <t>15.</t>
        </is>
      </c>
      <c r="Z80" s="6" t="inlineStr">
        <is>
          <t>130/80</t>
        </is>
      </c>
      <c r="AA80" s="6" t="inlineStr">
        <is>
          <t>110/60</t>
        </is>
      </c>
      <c r="AB80" s="5" t="n">
        <v>68</v>
      </c>
      <c r="AC80" s="5" t="inlineStr">
        <is>
          <t xml:space="preserve"> "білі легені " </t>
        </is>
      </c>
      <c r="AD80" s="5" t="n">
        <v>113</v>
      </c>
      <c r="AE80" s="5" t="n">
        <v>120</v>
      </c>
      <c r="AF80" s="5" t="n">
        <v>1</v>
      </c>
      <c r="AG80" s="5" t="n">
        <v>22.9</v>
      </c>
      <c r="AH80" s="5" t="n">
        <v>0</v>
      </c>
      <c r="AI80" s="5" t="n">
        <v>30</v>
      </c>
      <c r="AJ80" s="5" t="n">
        <v>34</v>
      </c>
      <c r="AK80" s="5" t="n">
        <v>30</v>
      </c>
      <c r="AL80" s="5" t="n">
        <v>44</v>
      </c>
      <c r="AM80" s="5" t="n">
        <v>30</v>
      </c>
      <c r="AN80" s="5" t="n">
        <v>21</v>
      </c>
      <c r="AO80" s="5" t="n">
        <v>56</v>
      </c>
      <c r="AP80" s="5" t="n">
        <v>9</v>
      </c>
      <c r="AQ80" s="5" t="n">
        <v>12</v>
      </c>
      <c r="AU80" s="5" t="n">
        <v>3223</v>
      </c>
      <c r="AV80" s="5" t="n">
        <v>4690</v>
      </c>
      <c r="AX80" s="5" t="n">
        <v>0.1</v>
      </c>
      <c r="AY80" s="5" t="n">
        <v>35</v>
      </c>
      <c r="AZ80" s="5" t="n">
        <v>38</v>
      </c>
      <c r="BA80" s="5" t="n">
        <v>13</v>
      </c>
      <c r="BB80" s="5" t="n">
        <v>12.2</v>
      </c>
      <c r="BC80" s="5" t="n">
        <v>2.15</v>
      </c>
      <c r="BD80" s="5" t="n">
        <v>5.01</v>
      </c>
      <c r="BE80" s="5" t="n">
        <v>1.24</v>
      </c>
      <c r="BF80" s="5" t="n">
        <v>1.18</v>
      </c>
      <c r="BG80" s="5" t="n">
        <v>62</v>
      </c>
      <c r="BH80" s="5" t="n">
        <v>60</v>
      </c>
      <c r="BI80" s="5" t="n">
        <v>4.2</v>
      </c>
      <c r="BJ80" s="5" t="n">
        <v>4.6</v>
      </c>
      <c r="BK80" s="5" t="n">
        <v>76</v>
      </c>
      <c r="BL80" s="5" t="n">
        <v>72</v>
      </c>
      <c r="BM80" s="5" t="n">
        <v>11.9</v>
      </c>
      <c r="BN80" s="5" t="n">
        <v>12.1</v>
      </c>
      <c r="BO80" s="5" t="n">
        <v>3.4</v>
      </c>
      <c r="BP80" s="5" t="n">
        <v>3.4</v>
      </c>
      <c r="BQ80" s="5" t="n">
        <v>10.2</v>
      </c>
      <c r="BR80" s="5" t="n">
        <v>8.5</v>
      </c>
      <c r="BS80" s="5" t="n">
        <v>75.40000000000001</v>
      </c>
      <c r="BT80" s="5" t="n">
        <v>45.2</v>
      </c>
      <c r="BU80" s="5" t="n">
        <v>42.2</v>
      </c>
      <c r="BV80" s="5" t="n">
        <v>30.2</v>
      </c>
      <c r="BW80" s="5" t="n">
        <v>5.9</v>
      </c>
      <c r="BX80" s="5" t="n">
        <v>4.5</v>
      </c>
      <c r="BY80" s="5" t="inlineStr">
        <is>
          <t>Тривалий Кушингоїд</t>
        </is>
      </c>
    </row>
    <row r="81" customFormat="1" s="5">
      <c r="A81" s="5" t="n">
        <v>1</v>
      </c>
      <c r="B81" s="5" t="n">
        <v>3136</v>
      </c>
      <c r="C81" s="5" t="inlineStr">
        <is>
          <t xml:space="preserve">Харитонюка Надія Петрівна </t>
        </is>
      </c>
      <c r="D81" s="5" t="n">
        <v>81</v>
      </c>
      <c r="E81" s="5" t="inlineStr">
        <is>
          <t>жін</t>
        </is>
      </c>
      <c r="F81" s="5" t="inlineStr">
        <is>
          <t xml:space="preserve">0634104751 внучкаАльона </t>
        </is>
      </c>
      <c r="G81" s="5" t="inlineStr">
        <is>
          <t>НГ дв. Полісег пневмонія 4кл гр.</t>
        </is>
      </c>
      <c r="H81" s="5" t="inlineStr">
        <is>
          <t>важкий</t>
        </is>
      </c>
      <c r="I81" s="5" t="inlineStr">
        <is>
          <t>ІІІ</t>
        </is>
      </c>
      <c r="J81" s="5" t="inlineStr">
        <is>
          <t>ГРДС.Інфаркт.ТЕЛА</t>
        </is>
      </c>
      <c r="K81" s="5" t="inlineStr">
        <is>
          <t>ІХС.ДК. ГХ ІІІ Гепатит</t>
        </is>
      </c>
      <c r="O81" s="5" t="n">
        <v>60</v>
      </c>
      <c r="P81" s="5" t="n">
        <v>96</v>
      </c>
      <c r="Q81" s="5" t="n">
        <v>0</v>
      </c>
      <c r="R81" s="5" t="n">
        <v>7</v>
      </c>
      <c r="S81" s="6" t="n">
        <v>44645</v>
      </c>
      <c r="T81" s="6" t="n">
        <v>44649</v>
      </c>
      <c r="U81" s="5" t="n">
        <v>4</v>
      </c>
      <c r="V81" s="6" t="n">
        <v>44650</v>
      </c>
      <c r="W81" s="6" t="inlineStr">
        <is>
          <t>4.</t>
        </is>
      </c>
      <c r="X81" s="5" t="n">
        <v>1</v>
      </c>
      <c r="Z81" s="5" t="inlineStr">
        <is>
          <t>160/90</t>
        </is>
      </c>
      <c r="AA81" s="5" t="inlineStr">
        <is>
          <t>140/90</t>
        </is>
      </c>
      <c r="AB81" s="5" t="n">
        <v>4</v>
      </c>
      <c r="AD81" s="5" t="n">
        <v>147</v>
      </c>
      <c r="AF81" s="5" t="n">
        <v>17.9</v>
      </c>
      <c r="AH81" s="5" t="n">
        <v>20</v>
      </c>
      <c r="AJ81" s="5" t="n">
        <v>73</v>
      </c>
      <c r="AL81" s="5" t="n">
        <v>2</v>
      </c>
      <c r="AN81" s="5" t="n">
        <v>35</v>
      </c>
      <c r="BG81" s="5" t="n">
        <v>61</v>
      </c>
      <c r="BI81" s="5" t="n">
        <v>16</v>
      </c>
      <c r="BK81" s="5" t="n">
        <v>181</v>
      </c>
      <c r="BS81" s="5" t="n">
        <v>37.4</v>
      </c>
      <c r="BU81" s="5" t="n">
        <v>18.1</v>
      </c>
      <c r="BW81" s="5" t="n">
        <v>6.9</v>
      </c>
    </row>
    <row r="82" customFormat="1" s="5">
      <c r="A82" s="5" t="n">
        <v>1</v>
      </c>
      <c r="B82" s="5" t="n">
        <v>2778</v>
      </c>
      <c r="C82" s="5" t="inlineStr">
        <is>
          <t>Яворськийа Христина Іванівна</t>
        </is>
      </c>
      <c r="D82" s="5" t="n">
        <v>82</v>
      </c>
      <c r="E82" s="5" t="inlineStr">
        <is>
          <t>жін</t>
        </is>
      </c>
      <c r="F82" s="5" t="inlineStr">
        <is>
          <t>0962359534син Віктор</t>
        </is>
      </c>
      <c r="G82" s="5" t="inlineStr">
        <is>
          <t>НГ дв. Полісег пневмонія 4кл гр.</t>
        </is>
      </c>
      <c r="H82" s="5" t="inlineStr">
        <is>
          <t>важкий</t>
        </is>
      </c>
      <c r="I82" s="5" t="inlineStr">
        <is>
          <t>ІІІ</t>
        </is>
      </c>
      <c r="J82" s="5" t="inlineStr">
        <is>
          <t>ГРДС. ТЕЛА.Набряк легень</t>
        </is>
      </c>
      <c r="K82" s="5" t="inlineStr">
        <is>
          <t xml:space="preserve">ІХС.ДК. ЦД. ГХ ІІІ. </t>
        </is>
      </c>
      <c r="O82" s="5" t="n">
        <v>83</v>
      </c>
      <c r="P82" s="5" t="n">
        <v>94</v>
      </c>
      <c r="Q82" s="5" t="n">
        <v>0</v>
      </c>
      <c r="R82" s="5" t="n">
        <v>5</v>
      </c>
      <c r="S82" s="6" t="n">
        <v>44625</v>
      </c>
      <c r="T82" s="6" t="n">
        <v>44656</v>
      </c>
      <c r="U82" s="5" t="n">
        <v>31</v>
      </c>
      <c r="V82" s="6" t="n">
        <v>44657</v>
      </c>
      <c r="Y82" s="5" t="n">
        <v>7</v>
      </c>
      <c r="Z82" s="5" t="inlineStr">
        <is>
          <t>140/90</t>
        </is>
      </c>
      <c r="AA82" s="5" t="inlineStr">
        <is>
          <t>130/80</t>
        </is>
      </c>
      <c r="AB82" s="5" t="n">
        <v>31</v>
      </c>
      <c r="AC82" s="5" t="inlineStr">
        <is>
          <t>множинні вогнища ущільнення</t>
        </is>
      </c>
      <c r="AD82" s="5" t="n">
        <v>143</v>
      </c>
      <c r="AE82" s="5" t="n">
        <v>154</v>
      </c>
      <c r="AF82" s="5" t="n">
        <v>9.800000000000001</v>
      </c>
      <c r="AG82" s="5" t="n">
        <v>14.2</v>
      </c>
      <c r="AH82" s="5" t="n">
        <v>17</v>
      </c>
      <c r="AI82" s="5" t="n">
        <v>16</v>
      </c>
      <c r="AJ82" s="5" t="n">
        <v>72</v>
      </c>
      <c r="AK82" s="5" t="n">
        <v>79</v>
      </c>
      <c r="AL82" s="5" t="n">
        <v>8</v>
      </c>
      <c r="AM82" s="5" t="n">
        <v>3</v>
      </c>
      <c r="AN82" s="5" t="n">
        <v>54</v>
      </c>
      <c r="AO82" s="5" t="n">
        <v>8</v>
      </c>
      <c r="AP82" s="5" t="n">
        <v>12</v>
      </c>
      <c r="AQ82" s="5" t="n">
        <v>8</v>
      </c>
      <c r="AY82" s="5" t="n">
        <v>43</v>
      </c>
      <c r="BA82" s="5" t="n">
        <v>15.6</v>
      </c>
      <c r="BC82" s="5" t="n">
        <v>7</v>
      </c>
      <c r="BE82" s="5" t="n">
        <v>1.52</v>
      </c>
      <c r="BG82" s="5" t="n">
        <v>69</v>
      </c>
      <c r="BH82" s="5" t="n">
        <v>56</v>
      </c>
      <c r="BI82" s="5" t="n">
        <v>7.9</v>
      </c>
      <c r="BJ82" s="5" t="n">
        <v>6.1</v>
      </c>
      <c r="BK82" s="5" t="n">
        <v>106</v>
      </c>
      <c r="BL82" s="5" t="n">
        <v>87</v>
      </c>
      <c r="BM82" s="5" t="n">
        <v>11.9</v>
      </c>
      <c r="BN82" s="5" t="n">
        <v>15.3</v>
      </c>
      <c r="BO82" s="5" t="n">
        <v>3.4</v>
      </c>
      <c r="BP82" s="5" t="n">
        <v>5.1</v>
      </c>
      <c r="BQ82" s="5" t="n">
        <v>8.5</v>
      </c>
      <c r="BR82" s="5" t="n">
        <v>10.2</v>
      </c>
      <c r="BS82" s="5" t="n">
        <v>37.2</v>
      </c>
      <c r="BT82" s="5" t="n">
        <v>45.2</v>
      </c>
      <c r="BU82" s="5" t="n">
        <v>24.1</v>
      </c>
      <c r="BV82" s="5" t="n">
        <v>30.2</v>
      </c>
      <c r="BW82" s="5" t="n">
        <v>9.4</v>
      </c>
      <c r="BX82" s="5" t="n">
        <v>6.7</v>
      </c>
    </row>
    <row r="83" customFormat="1" s="5">
      <c r="A83" s="5" t="n">
        <v>1</v>
      </c>
      <c r="B83" s="5" t="n">
        <v>2551</v>
      </c>
      <c r="C83" s="5" t="inlineStr">
        <is>
          <t>Лесюка Оксана Юріївна</t>
        </is>
      </c>
      <c r="D83" s="5" t="n">
        <v>49</v>
      </c>
      <c r="E83" s="5" t="inlineStr">
        <is>
          <t>жін</t>
        </is>
      </c>
      <c r="F83" s="5" t="inlineStr">
        <is>
          <t>0962446026чоловік Василь</t>
        </is>
      </c>
      <c r="G83" s="5" t="inlineStr">
        <is>
          <t>НГ дв. Полісег пневмонія 4кл гр.</t>
        </is>
      </c>
      <c r="H83" s="5" t="inlineStr">
        <is>
          <t>важкий</t>
        </is>
      </c>
      <c r="I83" s="5" t="inlineStr">
        <is>
          <t>ІІІ</t>
        </is>
      </c>
      <c r="J83" s="5" t="inlineStr">
        <is>
          <t>ГРДС .ТЕЛА</t>
        </is>
      </c>
      <c r="K83" s="5" t="inlineStr">
        <is>
          <t>ІХС</t>
        </is>
      </c>
      <c r="O83" s="5" t="n">
        <v>86</v>
      </c>
      <c r="P83" s="5" t="n">
        <v>93</v>
      </c>
      <c r="Q83" s="5" t="n">
        <v>0</v>
      </c>
      <c r="R83" s="5" t="n">
        <v>7</v>
      </c>
      <c r="S83" s="6" t="n">
        <v>44646</v>
      </c>
      <c r="T83" s="6" t="n">
        <v>44683</v>
      </c>
      <c r="U83" s="5" t="n">
        <v>37</v>
      </c>
      <c r="V83" s="6" t="n">
        <v>44595</v>
      </c>
      <c r="W83" s="5" t="n">
        <v>5</v>
      </c>
      <c r="Y83" s="5" t="n">
        <v>8</v>
      </c>
      <c r="Z83" s="5" t="inlineStr">
        <is>
          <t>120/80</t>
        </is>
      </c>
      <c r="AA83" s="5" t="inlineStr">
        <is>
          <t>120/80</t>
        </is>
      </c>
      <c r="AB83" s="5" t="n">
        <v>37</v>
      </c>
      <c r="AC83" s="5" t="inlineStr">
        <is>
          <t>Фіброзні зміни дифузний тип</t>
        </is>
      </c>
      <c r="AD83" s="5" t="n">
        <v>134</v>
      </c>
      <c r="AE83" s="5" t="n">
        <v>74</v>
      </c>
      <c r="AF83" s="5" t="n">
        <v>6.5</v>
      </c>
      <c r="AG83" s="5" t="n">
        <v>18.7</v>
      </c>
      <c r="AH83" s="5" t="n">
        <v>17</v>
      </c>
      <c r="AI83" s="5" t="n">
        <v>29</v>
      </c>
      <c r="AJ83" s="5" t="n">
        <v>65</v>
      </c>
      <c r="AK83" s="5" t="n">
        <v>66</v>
      </c>
      <c r="AL83" s="5" t="n">
        <v>13</v>
      </c>
      <c r="AM83" s="5" t="n">
        <v>3</v>
      </c>
      <c r="AN83" s="5" t="n">
        <v>20</v>
      </c>
      <c r="AO83" s="5" t="n">
        <v>60</v>
      </c>
      <c r="AP83" s="5" t="n">
        <v>24</v>
      </c>
      <c r="AQ83" s="5" t="n">
        <v>18</v>
      </c>
      <c r="AU83" s="5" t="n">
        <v>543</v>
      </c>
      <c r="AY83" s="5" t="n">
        <v>34</v>
      </c>
      <c r="AZ83" s="5" t="n">
        <v>35</v>
      </c>
      <c r="BA83" s="5" t="n">
        <v>12.6</v>
      </c>
      <c r="BB83" s="5" t="n">
        <v>14.8</v>
      </c>
      <c r="BC83" s="5" t="n">
        <v>3.8</v>
      </c>
      <c r="BD83" s="5" t="n">
        <v>7.22</v>
      </c>
      <c r="BE83" s="5" t="n">
        <v>1.21</v>
      </c>
      <c r="BF83" s="5" t="n">
        <v>1.39</v>
      </c>
      <c r="BG83" s="5" t="n">
        <v>60</v>
      </c>
      <c r="BH83" s="5" t="n">
        <v>70</v>
      </c>
      <c r="BI83" s="5" t="n">
        <v>4.7</v>
      </c>
      <c r="BJ83" s="5" t="n">
        <v>9.4</v>
      </c>
      <c r="BK83" s="5" t="n">
        <v>70</v>
      </c>
      <c r="BL83" s="5" t="n">
        <v>129</v>
      </c>
      <c r="BM83" s="5" t="n">
        <v>18.7</v>
      </c>
      <c r="BN83" s="5" t="n">
        <v>18.6</v>
      </c>
      <c r="BO83" s="5" t="n">
        <v>6.8</v>
      </c>
      <c r="BP83" s="5" t="n">
        <v>6.8</v>
      </c>
      <c r="BQ83" s="5" t="n">
        <v>11.9</v>
      </c>
      <c r="BR83" s="5" t="n">
        <v>11.9</v>
      </c>
      <c r="BS83" s="5" t="n">
        <v>75.40000000000001</v>
      </c>
      <c r="BT83" s="5" t="n">
        <v>67.5</v>
      </c>
      <c r="BU83" s="5" t="n">
        <v>36.2</v>
      </c>
      <c r="BV83" s="5" t="n">
        <v>48.2</v>
      </c>
      <c r="BW83" s="5" t="n">
        <v>5.1</v>
      </c>
      <c r="BX83" s="5" t="n">
        <v>9</v>
      </c>
    </row>
    <row r="84" customFormat="1" s="5">
      <c r="A84" s="5" t="n">
        <v>1</v>
      </c>
      <c r="B84" s="5" t="n">
        <v>1837</v>
      </c>
      <c r="C84" s="5" t="inlineStr">
        <is>
          <t>Мельничука Юлія Петрівна</t>
        </is>
      </c>
      <c r="D84" s="5" t="n">
        <v>97</v>
      </c>
      <c r="E84" s="5" t="inlineStr">
        <is>
          <t>жін</t>
        </is>
      </c>
      <c r="F84" s="5" t="inlineStr">
        <is>
          <t>0992007009невістка Катерина</t>
        </is>
      </c>
      <c r="G84" s="5" t="inlineStr">
        <is>
          <t>НГ дв. Полісег пневмонія 4кл гр.</t>
        </is>
      </c>
      <c r="H84" s="5" t="inlineStr">
        <is>
          <t>важкий</t>
        </is>
      </c>
      <c r="I84" s="5" t="inlineStr">
        <is>
          <t>ІІІ</t>
        </is>
      </c>
      <c r="J84" s="5" t="inlineStr">
        <is>
          <t xml:space="preserve">ГРДС </t>
        </is>
      </c>
      <c r="K84" s="5" t="inlineStr">
        <is>
          <t>ІХС.ДК.</t>
        </is>
      </c>
      <c r="L84" s="7" t="n">
        <v>0.6</v>
      </c>
      <c r="M84" s="5" t="inlineStr">
        <is>
          <t>важкий</t>
        </is>
      </c>
      <c r="O84" s="5" t="n">
        <v>81</v>
      </c>
      <c r="P84" s="5" t="n">
        <v>95</v>
      </c>
      <c r="Q84" s="5" t="n">
        <v>0</v>
      </c>
      <c r="R84" s="5" t="n">
        <v>3</v>
      </c>
      <c r="S84" s="6" t="n">
        <v>44701</v>
      </c>
      <c r="T84" s="6" t="n">
        <v>44734</v>
      </c>
      <c r="U84" s="5" t="n">
        <v>33</v>
      </c>
      <c r="V84" s="6" t="n">
        <v>44734</v>
      </c>
      <c r="W84" s="5" t="n">
        <v>4</v>
      </c>
      <c r="Y84" s="5" t="n">
        <v>6</v>
      </c>
      <c r="Z84" s="5" t="inlineStr">
        <is>
          <t>150/80</t>
        </is>
      </c>
      <c r="AA84" s="5" t="inlineStr">
        <is>
          <t>130/80</t>
        </is>
      </c>
      <c r="AB84" s="5" t="n">
        <v>33</v>
      </c>
      <c r="AC84" s="5" t="inlineStr">
        <is>
          <t>множинні вогнища ущільнення</t>
        </is>
      </c>
      <c r="AD84" s="5" t="n">
        <v>146</v>
      </c>
      <c r="AE84" s="5" t="n">
        <v>151</v>
      </c>
      <c r="AF84" s="5" t="n">
        <v>2.1</v>
      </c>
      <c r="AG84" s="5" t="n">
        <v>15.5</v>
      </c>
      <c r="AH84" s="5" t="n">
        <v>13</v>
      </c>
      <c r="AI84" s="5" t="n">
        <v>13</v>
      </c>
      <c r="AJ84" s="5" t="n">
        <v>51</v>
      </c>
      <c r="AK84" s="5" t="n">
        <v>73</v>
      </c>
      <c r="AL84" s="5" t="n">
        <v>32</v>
      </c>
      <c r="AM84" s="5" t="n">
        <v>9</v>
      </c>
      <c r="AN84" s="5" t="n">
        <v>37</v>
      </c>
      <c r="AO84" s="5" t="n">
        <v>11</v>
      </c>
      <c r="AP84" s="5" t="n">
        <v>18</v>
      </c>
      <c r="AQ84" s="5" t="n">
        <v>12</v>
      </c>
      <c r="AU84" s="5" t="n">
        <v>10000</v>
      </c>
      <c r="AV84" s="5" t="n">
        <v>919</v>
      </c>
      <c r="AX84" s="5" t="n">
        <v>10</v>
      </c>
      <c r="AY84" s="5" t="n">
        <v>44</v>
      </c>
      <c r="AZ84" s="5" t="n">
        <v>48</v>
      </c>
      <c r="BA84" s="5" t="n">
        <v>10.8</v>
      </c>
      <c r="BB84" s="5" t="n">
        <v>12.9</v>
      </c>
      <c r="BC84" s="5" t="n">
        <v>4.48</v>
      </c>
      <c r="BD84" s="5" t="n">
        <v>4.53</v>
      </c>
      <c r="BE84" s="5" t="n">
        <v>10.6</v>
      </c>
      <c r="BF84" s="5" t="n">
        <v>1.24</v>
      </c>
      <c r="BG84" s="5" t="n">
        <v>77</v>
      </c>
      <c r="BH84" s="5" t="n">
        <v>74</v>
      </c>
      <c r="BI84" s="5" t="n">
        <v>8.9</v>
      </c>
      <c r="BJ84" s="5" t="n">
        <v>8.1</v>
      </c>
      <c r="BK84" s="5" t="n">
        <v>120</v>
      </c>
      <c r="BL84" s="5" t="n">
        <v>108</v>
      </c>
      <c r="BM84" s="5" t="n">
        <v>20.4</v>
      </c>
      <c r="BN84" s="5" t="n">
        <v>22.1</v>
      </c>
      <c r="BO84" s="5" t="n">
        <v>6.8</v>
      </c>
      <c r="BP84" s="5" t="n">
        <v>6.8</v>
      </c>
      <c r="BQ84" s="5" t="n">
        <v>13.6</v>
      </c>
      <c r="BR84" s="5" t="n">
        <v>15.3</v>
      </c>
      <c r="BS84" s="5" t="n">
        <v>30.2</v>
      </c>
      <c r="BT84" s="5" t="n">
        <v>37.4</v>
      </c>
      <c r="BU84" s="5" t="n">
        <v>36.2</v>
      </c>
      <c r="BV84" s="5" t="n">
        <v>24.1</v>
      </c>
      <c r="BW84" s="5" t="n">
        <v>5.4</v>
      </c>
      <c r="BX84" s="5" t="n">
        <v>4</v>
      </c>
    </row>
    <row r="85" customFormat="1" s="5">
      <c r="A85" s="5" t="n">
        <v>1</v>
      </c>
      <c r="B85" s="5" t="n">
        <v>1742</v>
      </c>
      <c r="C85" s="5" t="inlineStr">
        <is>
          <t>Данилюка Зоряна Василівна</t>
        </is>
      </c>
      <c r="D85" s="5" t="n">
        <v>81</v>
      </c>
      <c r="E85" s="5" t="inlineStr">
        <is>
          <t>ж</t>
        </is>
      </c>
      <c r="F85" s="5" t="inlineStr">
        <is>
          <t>0504887781 Марина</t>
        </is>
      </c>
      <c r="G85" s="5" t="inlineStr">
        <is>
          <t>Негосп дв полісегм пневмонія 4 кл група</t>
        </is>
      </c>
      <c r="H85" s="5" t="inlineStr">
        <is>
          <t>важкий</t>
        </is>
      </c>
      <c r="I85" s="5" t="inlineStr">
        <is>
          <t>ІІ-ІІІ</t>
        </is>
      </c>
      <c r="J85" s="5" t="inlineStr">
        <is>
          <t>Гострий респіраторний дистрес синдром. Гостра серц-леген недос .Гостра емфізема легень.Токсико-інфекційний шок. Шокові нирки.Некронефроз</t>
        </is>
      </c>
      <c r="K85" s="5" t="inlineStr">
        <is>
          <t>ІХС ДК СН ІІа ФК 3</t>
        </is>
      </c>
      <c r="O85" s="5" t="n">
        <v>70</v>
      </c>
      <c r="P85" s="5" t="n">
        <v>97</v>
      </c>
      <c r="R85" s="5" t="n">
        <v>8</v>
      </c>
      <c r="S85" s="6" t="n">
        <v>44618</v>
      </c>
      <c r="T85" s="6" t="n">
        <v>44624</v>
      </c>
      <c r="U85" s="5" t="n">
        <v>6</v>
      </c>
      <c r="V85" s="6" t="n">
        <v>44625</v>
      </c>
      <c r="W85" s="5" t="inlineStr">
        <is>
          <t>3 дні до госп</t>
        </is>
      </c>
      <c r="Z85" s="5" t="inlineStr">
        <is>
          <t>130/80</t>
        </is>
      </c>
      <c r="AA85" s="5" t="inlineStr">
        <is>
          <t>130/80</t>
        </is>
      </c>
      <c r="AB85" s="5" t="n">
        <v>6</v>
      </c>
      <c r="AD85" s="5" t="n">
        <v>131</v>
      </c>
      <c r="AF85" s="5" t="n">
        <v>18.5</v>
      </c>
      <c r="AH85" s="5" t="n">
        <v>14</v>
      </c>
      <c r="AJ85" s="5" t="n">
        <v>76</v>
      </c>
      <c r="AL85" s="5" t="n">
        <v>6</v>
      </c>
      <c r="AN85" s="5" t="n">
        <v>25</v>
      </c>
      <c r="BG85" s="5" t="n">
        <v>65</v>
      </c>
      <c r="BI85" s="5" t="n">
        <v>8.4</v>
      </c>
      <c r="BK85" s="5" t="n">
        <v>126</v>
      </c>
      <c r="BM85" s="5" t="n">
        <v>11.9</v>
      </c>
      <c r="BO85" s="5" t="n">
        <v>3.4</v>
      </c>
      <c r="BQ85" s="5" t="n">
        <v>8.5</v>
      </c>
      <c r="BS85" s="5" t="n">
        <v>67.5</v>
      </c>
      <c r="BU85" s="5" t="n">
        <v>42.2</v>
      </c>
      <c r="BW85" s="5" t="n">
        <v>9.4</v>
      </c>
    </row>
    <row r="86" customFormat="1" s="5">
      <c r="A86" s="5" t="n">
        <v>1</v>
      </c>
      <c r="B86" s="5" t="n">
        <v>42</v>
      </c>
      <c r="C86" s="5" t="inlineStr">
        <is>
          <t>Мельничук Василь Юрійович</t>
        </is>
      </c>
      <c r="D86" s="5" t="n">
        <v>74</v>
      </c>
      <c r="E86" s="5" t="inlineStr">
        <is>
          <t>ч</t>
        </is>
      </c>
      <c r="F86" s="5" t="inlineStr">
        <is>
          <t>0670383004 друж Марія</t>
        </is>
      </c>
      <c r="G86" s="5" t="inlineStr">
        <is>
          <t>Негосп дв полісегм пневмонія 4 кл група</t>
        </is>
      </c>
      <c r="H86" s="5" t="inlineStr">
        <is>
          <t>важкий</t>
        </is>
      </c>
      <c r="I86" s="5" t="inlineStr">
        <is>
          <t>ІІ-ІІІ</t>
        </is>
      </c>
      <c r="J86" s="5" t="inlineStr">
        <is>
          <t>Гострий респіраторний дистрес синдром. Гостра серц-леген недос .Гостра емфізема легень.Токсико-інфекційний шок. Набряк легень</t>
        </is>
      </c>
      <c r="K86" s="5" t="inlineStr">
        <is>
          <t>ІХС ДК ГХ ІІ СН ІІа ФК 3-4 Церебральний атеросклероз</t>
        </is>
      </c>
      <c r="L86" s="5" t="inlineStr">
        <is>
          <t xml:space="preserve">           </t>
        </is>
      </c>
      <c r="O86" s="5" t="n">
        <v>50</v>
      </c>
      <c r="P86" s="5" t="n">
        <v>90</v>
      </c>
      <c r="R86" s="5" t="n">
        <v>7</v>
      </c>
      <c r="S86" s="6" t="n">
        <v>44606</v>
      </c>
      <c r="T86" s="6" t="n">
        <v>44616</v>
      </c>
      <c r="U86" s="5" t="n">
        <v>10</v>
      </c>
      <c r="V86" s="6" t="n">
        <v>44617</v>
      </c>
      <c r="W86" s="5" t="inlineStr">
        <is>
          <t>4 дні до госп</t>
        </is>
      </c>
      <c r="Z86" s="5" t="inlineStr">
        <is>
          <t>130/80</t>
        </is>
      </c>
      <c r="AA86" s="5" t="inlineStr">
        <is>
          <t>140/90</t>
        </is>
      </c>
      <c r="AB86" s="5" t="n">
        <v>10</v>
      </c>
      <c r="AC86" s="5" t="inlineStr">
        <is>
          <t>Незначні фіброзні зміни більше в ниж долі правої легені</t>
        </is>
      </c>
      <c r="AD86" s="5" t="n">
        <v>86</v>
      </c>
      <c r="AE86" s="5" t="n">
        <v>110</v>
      </c>
      <c r="AF86" s="5" t="n">
        <v>1.3</v>
      </c>
      <c r="AG86" s="5" t="n">
        <v>1.9</v>
      </c>
      <c r="AH86" s="5" t="n">
        <v>6</v>
      </c>
      <c r="AI86" s="5" t="n">
        <v>24</v>
      </c>
      <c r="AJ86" s="5" t="n">
        <v>70</v>
      </c>
      <c r="AK86" s="5" t="n">
        <v>53</v>
      </c>
      <c r="AL86" s="5" t="n">
        <v>18</v>
      </c>
      <c r="AM86" s="5" t="n">
        <v>17</v>
      </c>
      <c r="AN86" s="5" t="n">
        <v>40</v>
      </c>
      <c r="AO86" s="5" t="n">
        <v>36</v>
      </c>
      <c r="AP86" s="5" t="n">
        <v>9</v>
      </c>
      <c r="AQ86" s="5" t="n">
        <v>9</v>
      </c>
      <c r="AY86" s="5" t="n">
        <v>24</v>
      </c>
      <c r="AZ86" s="5" t="n">
        <v>40</v>
      </c>
      <c r="BA86" s="5" t="n">
        <v>14</v>
      </c>
      <c r="BB86" s="5" t="n">
        <v>9.4</v>
      </c>
      <c r="BC86" s="5" t="n">
        <v>5.02</v>
      </c>
      <c r="BD86" s="5" t="n">
        <v>8.01</v>
      </c>
      <c r="BE86" s="5" t="n">
        <v>1.36</v>
      </c>
      <c r="BF86" s="5" t="n">
        <v>0.92</v>
      </c>
      <c r="BG86" s="5" t="n">
        <v>58</v>
      </c>
      <c r="BH86" s="5" t="n">
        <v>50</v>
      </c>
      <c r="BI86" s="5" t="n">
        <v>5.3</v>
      </c>
      <c r="BJ86" s="5" t="n">
        <v>14</v>
      </c>
      <c r="BK86" s="5" t="n">
        <v>78</v>
      </c>
      <c r="BL86" s="5" t="n">
        <v>138</v>
      </c>
      <c r="BN86" s="5" t="n">
        <v>18.7</v>
      </c>
      <c r="BP86" s="5" t="n">
        <v>6.8</v>
      </c>
      <c r="BR86" s="5" t="n">
        <v>11.9</v>
      </c>
      <c r="BS86" s="5" t="n">
        <v>52.4</v>
      </c>
      <c r="BT86" s="5" t="n">
        <v>60.3</v>
      </c>
      <c r="BU86" s="5" t="n">
        <v>37.54</v>
      </c>
      <c r="BV86" s="5" t="n">
        <v>52.4</v>
      </c>
      <c r="BW86" s="5" t="n">
        <v>4.1</v>
      </c>
      <c r="BX86" s="5" t="n">
        <v>5.6</v>
      </c>
    </row>
    <row r="87" customFormat="1" s="5">
      <c r="A87" s="5" t="n">
        <v>1</v>
      </c>
      <c r="B87" s="5" t="n">
        <v>1734</v>
      </c>
      <c r="C87" s="5" t="inlineStr">
        <is>
          <t>Юращука Ганна Андріївна</t>
        </is>
      </c>
      <c r="D87" s="5" t="n">
        <v>67</v>
      </c>
      <c r="E87" s="5" t="inlineStr">
        <is>
          <t>ж</t>
        </is>
      </c>
      <c r="F87" s="5" t="inlineStr">
        <is>
          <t>0505529301 сестра Лариса</t>
        </is>
      </c>
      <c r="G87" s="5" t="inlineStr">
        <is>
          <t>Негосп дв полісегм пневмонія 4 кл група</t>
        </is>
      </c>
      <c r="H87" s="5" t="inlineStr">
        <is>
          <t>важкий</t>
        </is>
      </c>
      <c r="I87" s="5" t="inlineStr">
        <is>
          <t>ІІ-ІІІ</t>
        </is>
      </c>
      <c r="J87" s="5" t="inlineStr">
        <is>
          <t>Гострий респіраторний дистрес синдром. Гостра серц-леген недос .Гостра емфізема легень.Токсико-інфекційний шок. Шокові нирки.Некронефроз</t>
        </is>
      </c>
      <c r="K87" s="5" t="inlineStr">
        <is>
          <t>ІХС ДК ГХ ІІ СН ІІа ФК 3</t>
        </is>
      </c>
      <c r="L87" s="7" t="n">
        <v>0.3</v>
      </c>
      <c r="M87" s="5" t="inlineStr">
        <is>
          <t>серед ступеня</t>
        </is>
      </c>
      <c r="N87" s="5" t="inlineStr">
        <is>
          <t>дв полісегм інтерст пнев</t>
        </is>
      </c>
      <c r="O87" s="5" t="n">
        <v>83</v>
      </c>
      <c r="P87" s="5" t="n">
        <v>91</v>
      </c>
      <c r="R87" s="5" t="n">
        <v>8</v>
      </c>
      <c r="S87" s="6" t="n">
        <v>44594</v>
      </c>
      <c r="T87" s="6" t="n">
        <v>44622</v>
      </c>
      <c r="U87" s="5" t="n">
        <v>28</v>
      </c>
      <c r="V87" s="6" t="n">
        <v>44622</v>
      </c>
      <c r="W87" s="5" t="inlineStr">
        <is>
          <t>4 дні до госп</t>
        </is>
      </c>
      <c r="X87" s="5" t="inlineStr">
        <is>
          <t>2 дні в стац</t>
        </is>
      </c>
      <c r="Z87" s="5" t="inlineStr">
        <is>
          <t>110/70</t>
        </is>
      </c>
      <c r="AA87" s="5" t="inlineStr">
        <is>
          <t>130/80</t>
        </is>
      </c>
      <c r="AB87" s="5" t="n">
        <v>28</v>
      </c>
      <c r="AC87" s="5" t="inlineStr">
        <is>
          <t>Помірні інтерс зміни на фоні А профілю</t>
        </is>
      </c>
      <c r="AD87" s="5" t="n">
        <v>104</v>
      </c>
      <c r="AE87" s="5" t="n">
        <v>106</v>
      </c>
      <c r="AF87" s="5" t="n">
        <v>6.7</v>
      </c>
      <c r="AG87" s="5" t="n">
        <v>33.5</v>
      </c>
      <c r="AH87" s="5" t="n">
        <v>6</v>
      </c>
      <c r="AI87" s="5" t="n">
        <v>17</v>
      </c>
      <c r="AJ87" s="5" t="n">
        <v>90</v>
      </c>
      <c r="AK87" s="5" t="n">
        <v>78</v>
      </c>
      <c r="AL87" s="5" t="n">
        <v>4</v>
      </c>
      <c r="AM87" s="5" t="n">
        <v>1</v>
      </c>
      <c r="AN87" s="5" t="n">
        <v>20</v>
      </c>
      <c r="AO87" s="5" t="n">
        <v>46</v>
      </c>
      <c r="AP87" s="5" t="n">
        <v>9</v>
      </c>
      <c r="AQ87" s="5" t="n">
        <v>9</v>
      </c>
      <c r="AY87" s="5" t="n">
        <v>35</v>
      </c>
      <c r="AZ87" s="5" t="n">
        <v>44</v>
      </c>
      <c r="BA87" s="5" t="n">
        <v>10</v>
      </c>
      <c r="BB87" s="5" t="n">
        <v>13.5</v>
      </c>
      <c r="BC87" s="5" t="n">
        <v>2.97</v>
      </c>
      <c r="BD87" s="5" t="n">
        <v>5.47</v>
      </c>
      <c r="BE87" s="5" t="n">
        <v>0.99</v>
      </c>
      <c r="BF87" s="5" t="n">
        <v>1.32</v>
      </c>
      <c r="BG87" s="5" t="n">
        <v>61.4</v>
      </c>
      <c r="BH87" s="5" t="n">
        <v>53</v>
      </c>
      <c r="BI87" s="5" t="n">
        <v>12.3</v>
      </c>
      <c r="BJ87" s="5" t="n">
        <v>11.4</v>
      </c>
      <c r="BK87" s="5" t="n">
        <v>121.7</v>
      </c>
      <c r="BL87" s="5" t="n">
        <v>150</v>
      </c>
      <c r="BM87" s="5" t="n">
        <v>17</v>
      </c>
      <c r="BN87" s="5" t="n">
        <v>13.6</v>
      </c>
      <c r="BO87" s="5" t="n">
        <v>5.1</v>
      </c>
      <c r="BP87" s="5" t="n">
        <v>3.4</v>
      </c>
      <c r="BQ87" s="5" t="n">
        <v>11.9</v>
      </c>
      <c r="BR87" s="5" t="n">
        <v>10.2</v>
      </c>
      <c r="BS87" s="5" t="n">
        <v>52.4</v>
      </c>
      <c r="BT87" s="5" t="n">
        <v>30.2</v>
      </c>
      <c r="BU87" s="5" t="n">
        <v>48.2</v>
      </c>
      <c r="BV87" s="5" t="n">
        <v>22.3</v>
      </c>
      <c r="BW87" s="5" t="n">
        <v>5.9</v>
      </c>
      <c r="BX87" s="5" t="n">
        <v>5.9</v>
      </c>
    </row>
    <row r="88" customFormat="1" s="5">
      <c r="A88" s="5" t="n">
        <v>1</v>
      </c>
      <c r="B88" s="5" t="inlineStr">
        <is>
          <t>296/204</t>
        </is>
      </c>
      <c r="C88" s="5" t="inlineStr">
        <is>
          <t>Бондара Христина Петрівна</t>
        </is>
      </c>
      <c r="D88" s="5" t="n">
        <v>86</v>
      </c>
      <c r="E88" s="5" t="inlineStr">
        <is>
          <t>ж</t>
        </is>
      </c>
      <c r="F88" s="5" t="inlineStr">
        <is>
          <t>0962992398 внук Влад</t>
        </is>
      </c>
      <c r="G88" s="5" t="inlineStr">
        <is>
          <t>Негосп дв полісегм пневмонія 4 кл група</t>
        </is>
      </c>
      <c r="H88" s="5" t="inlineStr">
        <is>
          <t>важкий</t>
        </is>
      </c>
      <c r="I88" s="5" t="inlineStr">
        <is>
          <t>ІІ-ІІІ</t>
        </is>
      </c>
      <c r="J88" s="5" t="inlineStr">
        <is>
          <t>Гострий респіраторний дистрес синдром. Гостра серц-леген недос .Гостра емфізема легень.Токсико-інфекційний шок. ТЕЛА?</t>
        </is>
      </c>
      <c r="K88" s="5" t="inlineStr">
        <is>
          <t>ІХС ДК ГХ ІІ СНІІа ФК3</t>
        </is>
      </c>
      <c r="O88" s="5" t="n">
        <v>83</v>
      </c>
      <c r="P88" s="5" t="n">
        <v>90</v>
      </c>
      <c r="R88" s="5" t="n">
        <v>7</v>
      </c>
      <c r="S88" s="6" t="n">
        <v>44707</v>
      </c>
      <c r="T88" s="6" t="n">
        <v>44716</v>
      </c>
      <c r="U88" s="5" t="n">
        <v>9</v>
      </c>
      <c r="V88" s="6" t="n">
        <v>44716</v>
      </c>
      <c r="W88" s="5" t="inlineStr">
        <is>
          <t>7 днів до госп</t>
        </is>
      </c>
      <c r="Y88" s="5" t="inlineStr">
        <is>
          <t>2 дні в стац</t>
        </is>
      </c>
      <c r="Z88" s="5" t="inlineStr">
        <is>
          <t>140/90</t>
        </is>
      </c>
      <c r="AA88" s="5" t="inlineStr">
        <is>
          <t>130/80</t>
        </is>
      </c>
      <c r="AB88" s="5" t="n">
        <v>9</v>
      </c>
      <c r="AC88" s="5" t="inlineStr">
        <is>
          <t>Інтерст зміни в базально-латеральних правих сегм, інші відд помірні</t>
        </is>
      </c>
      <c r="AD88" s="5" t="n">
        <v>135</v>
      </c>
      <c r="AE88" s="5" t="n">
        <v>154</v>
      </c>
      <c r="AF88" s="5" t="n">
        <v>4.1</v>
      </c>
      <c r="AG88" s="5" t="n">
        <v>29.3</v>
      </c>
      <c r="AH88" s="5" t="n">
        <v>12</v>
      </c>
      <c r="AI88" s="5" t="n">
        <v>6</v>
      </c>
      <c r="AJ88" s="5" t="n">
        <v>69</v>
      </c>
      <c r="AK88" s="5" t="n">
        <v>84</v>
      </c>
      <c r="AL88" s="5" t="n">
        <v>17</v>
      </c>
      <c r="AM88" s="5" t="n">
        <v>3</v>
      </c>
      <c r="AN88" s="5" t="n">
        <v>15</v>
      </c>
      <c r="AO88" s="5" t="n">
        <v>19</v>
      </c>
      <c r="AP88" s="5" t="n">
        <v>9</v>
      </c>
      <c r="AQ88" s="5" t="n">
        <v>18</v>
      </c>
      <c r="AU88" s="5" t="n">
        <v>484</v>
      </c>
      <c r="AV88" s="5" t="n">
        <v>2018.18</v>
      </c>
      <c r="AY88" s="5" t="n">
        <v>40</v>
      </c>
      <c r="AZ88" s="5" t="n">
        <v>48</v>
      </c>
      <c r="BA88" s="5" t="n">
        <v>11.8</v>
      </c>
      <c r="BB88" s="5" t="n">
        <v>13.9</v>
      </c>
      <c r="BC88" s="5" t="n">
        <v>3.97</v>
      </c>
      <c r="BD88" s="5" t="n">
        <v>3.76</v>
      </c>
      <c r="BE88" s="5" t="n">
        <v>1.05</v>
      </c>
      <c r="BF88" s="5" t="n">
        <v>1.33</v>
      </c>
      <c r="BG88" s="5" t="n">
        <v>70</v>
      </c>
      <c r="BH88" s="5" t="n">
        <v>68</v>
      </c>
      <c r="BI88" s="5" t="n">
        <v>10</v>
      </c>
      <c r="BJ88" s="5" t="n">
        <v>8.800000000000001</v>
      </c>
      <c r="BK88" s="5" t="n">
        <v>98</v>
      </c>
      <c r="BL88" s="5" t="n">
        <v>100</v>
      </c>
      <c r="BM88" s="5" t="n">
        <v>15.6</v>
      </c>
      <c r="BN88" s="5" t="n">
        <v>13.6</v>
      </c>
      <c r="BO88" s="5" t="n">
        <v>5.1</v>
      </c>
      <c r="BP88" s="5" t="n">
        <v>3.4</v>
      </c>
      <c r="BQ88" s="5" t="n">
        <v>11.9</v>
      </c>
      <c r="BR88" s="5" t="n">
        <v>10.2</v>
      </c>
      <c r="BS88" s="5" t="n">
        <v>32.6</v>
      </c>
      <c r="BT88" s="5" t="n">
        <v>120.6</v>
      </c>
      <c r="BU88" s="5" t="n">
        <v>30.2</v>
      </c>
      <c r="BV88" s="5" t="n">
        <v>67.5</v>
      </c>
      <c r="BW88" s="5" t="n">
        <v>4.1</v>
      </c>
      <c r="BX88" s="5" t="n">
        <v>5.5</v>
      </c>
    </row>
    <row r="89" customFormat="1" s="5">
      <c r="A89" s="5" t="n">
        <v>1</v>
      </c>
      <c r="B89" s="5" t="n">
        <v>2022</v>
      </c>
      <c r="C89" s="5" t="inlineStr">
        <is>
          <t>Данилюка Уляна Андріївна</t>
        </is>
      </c>
      <c r="D89" s="5" t="n">
        <v>79</v>
      </c>
      <c r="E89" s="5" t="inlineStr">
        <is>
          <t>ж</t>
        </is>
      </c>
      <c r="F89" s="5" t="inlineStr">
        <is>
          <t>0961299914 внучка</t>
        </is>
      </c>
      <c r="G89" s="5" t="inlineStr">
        <is>
          <t>Негосп дв полісегм пневмонія 4 кл група</t>
        </is>
      </c>
      <c r="H89" s="5" t="inlineStr">
        <is>
          <t>важкий</t>
        </is>
      </c>
      <c r="I89" s="5" t="inlineStr">
        <is>
          <t>ІІ-ІІІ</t>
        </is>
      </c>
      <c r="J89" s="5" t="inlineStr">
        <is>
          <t xml:space="preserve">Гострий респіраторний дистрес синдром. Гостра серц-леген недос .Гостра емфізема легень.Токсико-інфекційний шок. </t>
        </is>
      </c>
      <c r="K89" s="5" t="inlineStr">
        <is>
          <t>ІХС ДК ГХ ІІ СНІІа ФК3</t>
        </is>
      </c>
      <c r="O89" s="5" t="n">
        <v>85</v>
      </c>
      <c r="P89" s="5" t="n">
        <v>94</v>
      </c>
      <c r="R89" s="5" t="n">
        <v>7</v>
      </c>
      <c r="S89" s="6" t="n">
        <v>44658</v>
      </c>
      <c r="T89" s="6" t="n">
        <v>44679</v>
      </c>
      <c r="U89" s="5" t="n">
        <v>21</v>
      </c>
      <c r="V89" s="6" t="n">
        <v>44680</v>
      </c>
      <c r="W89" s="5" t="inlineStr">
        <is>
          <t>7 днів до госп</t>
        </is>
      </c>
      <c r="X89" s="5" t="inlineStr">
        <is>
          <t>4 дні в стац</t>
        </is>
      </c>
      <c r="Y89" s="5" t="inlineStr">
        <is>
          <t xml:space="preserve"> 5 днів в стац</t>
        </is>
      </c>
      <c r="Z89" s="5" t="inlineStr">
        <is>
          <t>130/70</t>
        </is>
      </c>
      <c r="AA89" s="5" t="inlineStr">
        <is>
          <t>110/80</t>
        </is>
      </c>
      <c r="AB89" s="5" t="n">
        <v>21</v>
      </c>
      <c r="AC89" s="5" t="inlineStr">
        <is>
          <t>Виражені інтерст зміни справа, помірні зліва</t>
        </is>
      </c>
      <c r="AD89" s="5" t="n">
        <v>136</v>
      </c>
      <c r="AE89" s="5" t="n">
        <v>132</v>
      </c>
      <c r="AF89" s="5" t="n">
        <v>7.1</v>
      </c>
      <c r="AG89" s="5" t="n">
        <v>15.2</v>
      </c>
      <c r="AH89" s="5" t="n">
        <v>32</v>
      </c>
      <c r="AI89" s="5" t="n">
        <v>13</v>
      </c>
      <c r="AJ89" s="5" t="n">
        <v>43</v>
      </c>
      <c r="AK89" s="5" t="n">
        <v>82</v>
      </c>
      <c r="AL89" s="5" t="n">
        <v>18</v>
      </c>
      <c r="AM89" s="5" t="n">
        <v>3</v>
      </c>
      <c r="AN89" s="5" t="n">
        <v>37</v>
      </c>
      <c r="AO89" s="5" t="n">
        <v>50</v>
      </c>
      <c r="AQ89" s="5" t="n">
        <v>6</v>
      </c>
      <c r="AY89" s="5" t="n">
        <v>36.4</v>
      </c>
      <c r="AZ89" s="5" t="n">
        <v>42</v>
      </c>
      <c r="BA89" s="5" t="n">
        <v>12.9</v>
      </c>
      <c r="BB89" s="5" t="n">
        <v>13.3</v>
      </c>
      <c r="BC89" s="5" t="n">
        <v>5.01</v>
      </c>
      <c r="BD89" s="5" t="n">
        <v>8.470000000000001</v>
      </c>
      <c r="BE89" s="5" t="n">
        <v>1.24</v>
      </c>
      <c r="BF89" s="5" t="n">
        <v>1.27</v>
      </c>
      <c r="BG89" s="5" t="n">
        <v>63</v>
      </c>
      <c r="BH89" s="5" t="n">
        <v>58</v>
      </c>
      <c r="BI89" s="5" t="n">
        <v>5.3</v>
      </c>
      <c r="BJ89" s="5" t="n">
        <v>19.4</v>
      </c>
      <c r="BK89" s="5" t="n">
        <v>88</v>
      </c>
      <c r="BL89" s="5" t="n">
        <v>140</v>
      </c>
      <c r="BM89" s="5" t="n">
        <v>13.6</v>
      </c>
      <c r="BN89" s="5" t="n">
        <v>18.7</v>
      </c>
      <c r="BO89" s="5" t="n">
        <v>3.4</v>
      </c>
      <c r="BP89" s="5" t="n">
        <v>6.8</v>
      </c>
      <c r="BQ89" s="5" t="n">
        <v>8.5</v>
      </c>
      <c r="BR89" s="5" t="n">
        <v>11.9</v>
      </c>
      <c r="BS89" s="5" t="n">
        <v>52.4</v>
      </c>
      <c r="BT89" s="5" t="n">
        <v>90.40000000000001</v>
      </c>
      <c r="BU89" s="5" t="n">
        <v>42.2</v>
      </c>
      <c r="BV89" s="5" t="n">
        <v>37.4</v>
      </c>
      <c r="BW89" s="5" t="n">
        <v>9.199999999999999</v>
      </c>
      <c r="BX89" s="5" t="n">
        <v>8.9</v>
      </c>
    </row>
    <row r="90" customFormat="1" s="5">
      <c r="A90" s="5" t="n">
        <v>1</v>
      </c>
      <c r="B90" s="5" t="n">
        <v>3352</v>
      </c>
      <c r="C90" s="5" t="inlineStr">
        <is>
          <t>Цуркана Світлана Миколаївна</t>
        </is>
      </c>
      <c r="D90" s="5" t="n">
        <v>74</v>
      </c>
      <c r="E90" s="5" t="inlineStr">
        <is>
          <t>ж</t>
        </is>
      </c>
      <c r="F90" s="5" t="inlineStr">
        <is>
          <t>0953516768 син Григорій</t>
        </is>
      </c>
      <c r="G90" s="5" t="inlineStr">
        <is>
          <t>Негосп дв полісегм пневмонія 4 кл група</t>
        </is>
      </c>
      <c r="H90" s="5" t="inlineStr">
        <is>
          <t>важкий</t>
        </is>
      </c>
      <c r="I90" s="5" t="inlineStr">
        <is>
          <t>ІІ-ІІІ</t>
        </is>
      </c>
      <c r="J90" s="5" t="inlineStr">
        <is>
          <t xml:space="preserve">Гострий респіраторний дистрес синдром. Гостра серц-леген недос .Гостра емфізема легень.Токсико-інфекційний шок. </t>
        </is>
      </c>
      <c r="K90" s="5" t="inlineStr">
        <is>
          <t xml:space="preserve">ІХС ДК ГЛШ ЦД ІІ тип. </t>
        </is>
      </c>
      <c r="O90" s="5" t="n">
        <v>86</v>
      </c>
      <c r="P90" s="5" t="n">
        <v>92</v>
      </c>
      <c r="R90" s="5" t="n">
        <v>5</v>
      </c>
      <c r="S90" s="6" t="n">
        <v>44645</v>
      </c>
      <c r="T90" s="6" t="n">
        <v>44650</v>
      </c>
      <c r="U90" s="5" t="n">
        <v>5</v>
      </c>
      <c r="V90" s="6" t="n">
        <v>44650</v>
      </c>
      <c r="Z90" s="5" t="inlineStr">
        <is>
          <t>130/70</t>
        </is>
      </c>
      <c r="AA90" s="5" t="inlineStr">
        <is>
          <t>120/80</t>
        </is>
      </c>
      <c r="AB90" s="5" t="n">
        <v>5</v>
      </c>
      <c r="AD90" s="5" t="n">
        <v>119</v>
      </c>
      <c r="AF90" s="5" t="n">
        <v>16.8</v>
      </c>
      <c r="AH90" s="5" t="n">
        <v>23</v>
      </c>
      <c r="AJ90" s="5" t="n">
        <v>70</v>
      </c>
      <c r="AL90" s="5" t="n">
        <v>1</v>
      </c>
      <c r="AN90" s="5" t="n">
        <v>38</v>
      </c>
      <c r="AP90" s="5" t="n">
        <v>9</v>
      </c>
      <c r="AY90" s="5" t="n">
        <v>39</v>
      </c>
      <c r="BA90" s="5" t="n">
        <v>9.5</v>
      </c>
      <c r="BC90" s="5" t="n">
        <v>6.64</v>
      </c>
      <c r="BE90" s="5" t="n">
        <v>0.9399999999999999</v>
      </c>
      <c r="BG90" s="5" t="n">
        <v>57</v>
      </c>
      <c r="BI90" s="5" t="n">
        <v>5</v>
      </c>
      <c r="BK90" s="5" t="n">
        <v>77</v>
      </c>
      <c r="BM90" s="5" t="n">
        <v>11.9</v>
      </c>
      <c r="BO90" s="5" t="n">
        <v>3.4</v>
      </c>
      <c r="BQ90" s="5" t="n">
        <v>8.5</v>
      </c>
      <c r="BS90" s="5" t="n">
        <v>45.2</v>
      </c>
      <c r="BU90" s="5" t="n">
        <v>30.2</v>
      </c>
      <c r="BW90" s="5" t="n">
        <v>7.6</v>
      </c>
      <c r="BY90" s="5" t="inlineStr">
        <is>
          <t>ішемічний інсульт 9.03.21</t>
        </is>
      </c>
    </row>
    <row r="91" customFormat="1" s="5">
      <c r="A91" s="5" t="n">
        <v>1</v>
      </c>
      <c r="B91" s="5" t="inlineStr">
        <is>
          <t>2365/35</t>
        </is>
      </c>
      <c r="C91" s="5" t="inlineStr">
        <is>
          <t>Багрійа Тетяна Володимирівна</t>
        </is>
      </c>
      <c r="D91" s="5" t="n">
        <v>78</v>
      </c>
      <c r="E91" s="5" t="inlineStr">
        <is>
          <t>ж</t>
        </is>
      </c>
      <c r="F91" s="5" t="inlineStr">
        <is>
          <t>плем альона 0954366282</t>
        </is>
      </c>
      <c r="G91" s="5" t="inlineStr">
        <is>
          <t>Негосп дв полісегм пневмонія 4 кл група</t>
        </is>
      </c>
      <c r="H91" s="5" t="inlineStr">
        <is>
          <t>важкий</t>
        </is>
      </c>
      <c r="I91" s="5" t="inlineStr">
        <is>
          <t>ІІ-ІІІ</t>
        </is>
      </c>
      <c r="J91" s="5" t="inlineStr">
        <is>
          <t>Гострий респіраторний дистрес синдром. Гостра серц-леген недос .Гостра емфізема легень.Токсико-інфекційний шок. ТЕЛА?</t>
        </is>
      </c>
      <c r="K91" s="5" t="inlineStr">
        <is>
          <t>ІХС ДК ГХ ІІІ СН ІІА ЦД ІІ тип</t>
        </is>
      </c>
      <c r="O91" s="5" t="n">
        <v>86</v>
      </c>
      <c r="P91" s="5" t="n">
        <v>97</v>
      </c>
      <c r="R91" s="5" t="n">
        <v>3</v>
      </c>
      <c r="S91" s="6" t="n">
        <v>44672</v>
      </c>
      <c r="T91" s="6" t="n">
        <v>44687</v>
      </c>
      <c r="U91" s="5" t="n">
        <v>15</v>
      </c>
      <c r="V91" s="6" t="n">
        <v>44687</v>
      </c>
      <c r="Z91" s="5" t="inlineStr">
        <is>
          <t>140/90</t>
        </is>
      </c>
      <c r="AA91" s="5" t="inlineStr">
        <is>
          <t>130/80</t>
        </is>
      </c>
      <c r="AB91" s="5" t="n">
        <v>15</v>
      </c>
      <c r="AC91" s="5" t="inlineStr">
        <is>
          <t>Виражені інтерст зміни справа</t>
        </is>
      </c>
      <c r="AD91" s="5" t="n">
        <v>101</v>
      </c>
      <c r="AE91" s="5" t="n">
        <v>115</v>
      </c>
      <c r="AF91" s="5" t="n">
        <v>4.2</v>
      </c>
      <c r="AG91" s="5" t="n">
        <v>8.800000000000001</v>
      </c>
      <c r="AH91" s="5" t="n">
        <v>14</v>
      </c>
      <c r="AI91" s="5" t="n">
        <v>8</v>
      </c>
      <c r="AJ91" s="5" t="n">
        <v>73</v>
      </c>
      <c r="AK91" s="5" t="n">
        <v>77</v>
      </c>
      <c r="AL91" s="5" t="n">
        <v>11</v>
      </c>
      <c r="AM91" s="5" t="n">
        <v>6</v>
      </c>
      <c r="AN91" s="5" t="n">
        <v>65</v>
      </c>
      <c r="AO91" s="5" t="n">
        <v>46</v>
      </c>
      <c r="AP91" s="5" t="n">
        <v>12</v>
      </c>
      <c r="AU91" s="12" t="n">
        <v>1015.32</v>
      </c>
      <c r="AY91" s="5" t="n">
        <v>35</v>
      </c>
      <c r="AZ91" s="5" t="n">
        <v>35</v>
      </c>
      <c r="BA91" s="5" t="n">
        <v>11.8</v>
      </c>
      <c r="BB91" s="5" t="n">
        <v>14.6</v>
      </c>
      <c r="BC91" s="5" t="n">
        <v>6.46</v>
      </c>
      <c r="BD91" s="5" t="n">
        <v>2.68</v>
      </c>
      <c r="BE91" s="5" t="n">
        <v>1.14</v>
      </c>
      <c r="BF91" s="5" t="n">
        <v>1.39</v>
      </c>
      <c r="BG91" s="5" t="n">
        <v>69</v>
      </c>
      <c r="BI91" s="5" t="n">
        <v>10.7</v>
      </c>
      <c r="BK91" s="5" t="n">
        <v>167</v>
      </c>
      <c r="BM91" s="5" t="n">
        <v>11.9</v>
      </c>
      <c r="BO91" s="5" t="n">
        <v>3.4</v>
      </c>
      <c r="BQ91" s="5" t="n">
        <v>8.5</v>
      </c>
      <c r="BS91" s="5" t="n">
        <v>45.2</v>
      </c>
      <c r="BU91" s="5" t="n">
        <v>24.1</v>
      </c>
      <c r="BW91" s="5" t="n">
        <v>11.2</v>
      </c>
      <c r="BY91" s="5" t="inlineStr">
        <is>
          <t>церебральний атеросклероз в 2020, інсульт 2020</t>
        </is>
      </c>
    </row>
    <row r="92" customFormat="1" s="5">
      <c r="A92" s="5" t="n">
        <v>1</v>
      </c>
      <c r="B92" s="5" t="n">
        <v>3232</v>
      </c>
      <c r="C92" s="5" t="inlineStr">
        <is>
          <t>Цуркана Зоряна Романівна</t>
        </is>
      </c>
      <c r="D92" s="5" t="n">
        <v>52</v>
      </c>
      <c r="E92" s="5" t="inlineStr">
        <is>
          <t>ж</t>
        </is>
      </c>
      <c r="F92" s="5" t="inlineStr">
        <is>
          <t>дочка Ганна 0994262837</t>
        </is>
      </c>
      <c r="G92" s="5" t="inlineStr">
        <is>
          <t>Негосп дв полісегм пнев 4 кл група</t>
        </is>
      </c>
      <c r="H92" s="5" t="inlineStr">
        <is>
          <t>важкий</t>
        </is>
      </c>
      <c r="I92" s="5" t="inlineStr">
        <is>
          <t>ІІ-ІІІ</t>
        </is>
      </c>
      <c r="J92" s="5" t="inlineStr">
        <is>
          <t>Гострий респіраторний дистрес синдром. Гостра серц-леген недос .Гостра емфізема легень.Токсико-інфекційний шок</t>
        </is>
      </c>
      <c r="K92" s="5" t="inlineStr">
        <is>
          <t>ІХС ДК ГХст2. ЦД</t>
        </is>
      </c>
      <c r="O92" s="5" t="n">
        <v>75</v>
      </c>
      <c r="P92" s="5" t="n">
        <v>92</v>
      </c>
      <c r="R92" s="5" t="n">
        <v>10</v>
      </c>
      <c r="S92" s="6" t="n">
        <v>44545</v>
      </c>
      <c r="T92" s="6" t="n">
        <v>44567</v>
      </c>
      <c r="U92" s="5" t="n">
        <v>22</v>
      </c>
      <c r="V92" s="6" t="n">
        <v>44202</v>
      </c>
      <c r="W92" s="5" t="inlineStr">
        <is>
          <t>4дні до госп</t>
        </is>
      </c>
      <c r="X92" s="5" t="inlineStr">
        <is>
          <t>3 дні в стац</t>
        </is>
      </c>
      <c r="Z92" s="5" t="inlineStr">
        <is>
          <t>170/100</t>
        </is>
      </c>
      <c r="AA92" s="5" t="inlineStr">
        <is>
          <t>150/100</t>
        </is>
      </c>
      <c r="AB92" s="5" t="n">
        <v>22</v>
      </c>
      <c r="AC92" s="9" t="inlineStr">
        <is>
          <t xml:space="preserve">                                              даних немає</t>
        </is>
      </c>
      <c r="AD92" s="5" t="n">
        <v>130</v>
      </c>
      <c r="AE92" s="5" t="n">
        <v>104</v>
      </c>
      <c r="AF92" s="5" t="n">
        <v>12</v>
      </c>
      <c r="AG92" s="5" t="n">
        <v>4</v>
      </c>
      <c r="AH92" s="5" t="n">
        <v>14</v>
      </c>
      <c r="AI92" s="5" t="n">
        <v>29</v>
      </c>
      <c r="AJ92" s="5" t="n">
        <v>76</v>
      </c>
      <c r="AK92" s="5" t="n">
        <v>62</v>
      </c>
      <c r="AL92" s="5" t="n">
        <v>5</v>
      </c>
      <c r="AM92" s="5" t="n">
        <v>5</v>
      </c>
      <c r="AN92" s="5" t="n">
        <v>37</v>
      </c>
      <c r="AO92" s="5" t="n">
        <v>6</v>
      </c>
      <c r="AP92" s="5" t="n">
        <v>12</v>
      </c>
      <c r="AQ92" s="5" t="n">
        <v>6</v>
      </c>
      <c r="AU92" s="5" t="n">
        <v>10000</v>
      </c>
      <c r="AX92" s="5" t="inlineStr">
        <is>
          <t>0.10</t>
        </is>
      </c>
      <c r="AY92" s="5" t="n">
        <v>33</v>
      </c>
      <c r="AZ92" s="5" t="n">
        <v>31</v>
      </c>
      <c r="BA92" s="5" t="n">
        <v>10.6</v>
      </c>
      <c r="BB92" s="5" t="n">
        <v>13.9</v>
      </c>
      <c r="BC92" s="5" t="n">
        <v>3</v>
      </c>
      <c r="BD92" s="5" t="n">
        <v>2.59</v>
      </c>
      <c r="BE92" s="5" t="n">
        <v>1.23</v>
      </c>
      <c r="BF92" s="5" t="n">
        <v>1.03</v>
      </c>
      <c r="BG92" s="5" t="inlineStr">
        <is>
          <t>56.3</t>
        </is>
      </c>
      <c r="BH92" s="5" t="inlineStr">
        <is>
          <t>50.3</t>
        </is>
      </c>
      <c r="BI92" s="5" t="n">
        <v>13.7</v>
      </c>
      <c r="BJ92" s="5" t="n">
        <v>5.5</v>
      </c>
      <c r="BK92" s="5" t="inlineStr">
        <is>
          <t>109.9</t>
        </is>
      </c>
      <c r="BL92" s="5" t="n">
        <v>89</v>
      </c>
      <c r="BM92" s="5" t="n">
        <v>13.6</v>
      </c>
      <c r="BN92" s="5" t="n">
        <v>15.3</v>
      </c>
      <c r="BO92" s="5" t="n">
        <v>5.1</v>
      </c>
      <c r="BP92" s="5" t="n">
        <v>5.1</v>
      </c>
      <c r="BQ92" s="5" t="n">
        <v>8.5</v>
      </c>
      <c r="BR92" s="5" t="n">
        <v>10.2</v>
      </c>
      <c r="BS92" s="5" t="n">
        <v>30.2</v>
      </c>
      <c r="BT92" s="5" t="inlineStr">
        <is>
          <t>82.4</t>
        </is>
      </c>
      <c r="BU92" s="5" t="n">
        <v>67.5</v>
      </c>
      <c r="BV92" s="5" t="n">
        <v>60.4</v>
      </c>
      <c r="BW92" s="5" t="n">
        <v>5.7</v>
      </c>
      <c r="BX92" s="5" t="n">
        <v>5.8</v>
      </c>
    </row>
    <row r="93" customFormat="1" s="5">
      <c r="A93" s="5" t="n">
        <v>1</v>
      </c>
      <c r="B93" s="5" t="n">
        <v>2215</v>
      </c>
      <c r="C93" s="5" t="inlineStr">
        <is>
          <t xml:space="preserve">Гамалійа Зоряна Павлівна </t>
        </is>
      </c>
      <c r="D93" s="5" t="n">
        <v>75</v>
      </c>
      <c r="E93" s="5" t="inlineStr">
        <is>
          <t>ж</t>
        </is>
      </c>
      <c r="F93" s="5" t="inlineStr">
        <is>
          <t>дочка Тетяна 0968704151</t>
        </is>
      </c>
      <c r="G93" s="5" t="inlineStr">
        <is>
          <t>Негосп дв полісегм пнев 4 кл група</t>
        </is>
      </c>
      <c r="H93" s="5" t="inlineStr">
        <is>
          <t>важкий</t>
        </is>
      </c>
      <c r="I93" s="5" t="inlineStr">
        <is>
          <t>ІІ-ІІІ</t>
        </is>
      </c>
      <c r="J93" s="5" t="inlineStr">
        <is>
          <t>Гострий респіраторний дистрес синдром. Гостра серц-леген недос .Гостра емфізема легень.Токсико-інфекційний шок</t>
        </is>
      </c>
      <c r="K93" s="5" t="inlineStr">
        <is>
          <t>ІХС ДК ГХст2. Опасистість ІІІ</t>
        </is>
      </c>
      <c r="O93" s="5" t="n">
        <v>78</v>
      </c>
      <c r="P93" s="5" t="n">
        <v>92</v>
      </c>
      <c r="R93" s="5" t="n">
        <v>12</v>
      </c>
      <c r="S93" s="6" t="n">
        <v>44593</v>
      </c>
      <c r="T93" s="6" t="n">
        <v>44601</v>
      </c>
      <c r="U93" s="5" t="n">
        <v>8</v>
      </c>
      <c r="V93" s="6" t="n">
        <v>44602</v>
      </c>
      <c r="W93" s="5" t="inlineStr">
        <is>
          <t>3 дні до госп</t>
        </is>
      </c>
      <c r="X93" s="5" t="inlineStr">
        <is>
          <t>4дні в стац</t>
        </is>
      </c>
      <c r="Z93" s="5" t="inlineStr">
        <is>
          <t>190/110</t>
        </is>
      </c>
      <c r="AA93" s="5" t="inlineStr">
        <is>
          <t>130/100</t>
        </is>
      </c>
      <c r="AB93" s="5" t="n">
        <v>8</v>
      </c>
      <c r="AC93" s="9" t="inlineStr">
        <is>
          <t xml:space="preserve">                                              даних немає</t>
        </is>
      </c>
      <c r="AD93" s="5" t="n">
        <v>132</v>
      </c>
      <c r="AE93" s="5" t="n">
        <v>135</v>
      </c>
      <c r="AF93" s="5" t="n">
        <v>17.5</v>
      </c>
      <c r="AG93" s="11" t="n">
        <v>18.2</v>
      </c>
      <c r="AH93" s="5" t="n">
        <v>12</v>
      </c>
      <c r="AI93" s="5" t="n">
        <v>3</v>
      </c>
      <c r="AJ93" s="5" t="n">
        <v>18</v>
      </c>
      <c r="AK93" s="5" t="n">
        <v>16</v>
      </c>
      <c r="AL93" s="5" t="n">
        <v>6</v>
      </c>
      <c r="AM93" s="5" t="n">
        <v>6</v>
      </c>
      <c r="AN93" s="5" t="n">
        <v>15</v>
      </c>
      <c r="AO93" s="5" t="n">
        <v>16</v>
      </c>
      <c r="AP93" s="5" t="n">
        <v>16</v>
      </c>
      <c r="AQ93" s="5" t="n">
        <v>12</v>
      </c>
      <c r="AU93" s="5" t="n">
        <v>10000</v>
      </c>
      <c r="AX93" s="5" t="inlineStr">
        <is>
          <t>0.10</t>
        </is>
      </c>
      <c r="AY93" s="5" t="n">
        <v>40</v>
      </c>
      <c r="AZ93" s="5" t="n">
        <v>50</v>
      </c>
      <c r="BA93" s="5" t="n">
        <v>11.7</v>
      </c>
      <c r="BB93" s="5" t="n">
        <v>14</v>
      </c>
      <c r="BC93" s="5" t="n">
        <v>5.2</v>
      </c>
      <c r="BD93" s="5" t="n">
        <v>3</v>
      </c>
      <c r="BE93" s="5" t="n">
        <v>1.33</v>
      </c>
      <c r="BF93" s="5" t="n">
        <v>1.13</v>
      </c>
      <c r="BG93" s="5" t="inlineStr">
        <is>
          <t>62.7</t>
        </is>
      </c>
      <c r="BH93" s="5" t="n">
        <v>60</v>
      </c>
      <c r="BI93" s="5" t="inlineStr">
        <is>
          <t>14.0</t>
        </is>
      </c>
      <c r="BJ93" s="5" t="n">
        <v>4.6</v>
      </c>
      <c r="BK93" s="5" t="n">
        <v>123.9</v>
      </c>
      <c r="BL93" s="5" t="n">
        <v>73</v>
      </c>
      <c r="BM93" s="5" t="n">
        <v>13.6</v>
      </c>
      <c r="BN93" s="5" t="n">
        <v>13.6</v>
      </c>
      <c r="BO93" s="5" t="n">
        <v>5.1</v>
      </c>
      <c r="BP93" s="5" t="n">
        <v>3.4</v>
      </c>
      <c r="BQ93" s="5" t="n">
        <v>8.5</v>
      </c>
      <c r="BR93" s="5" t="n">
        <v>3.4</v>
      </c>
      <c r="BS93" s="5" t="n">
        <v>75.40000000000001</v>
      </c>
      <c r="BT93" s="5" t="n">
        <v>60.3</v>
      </c>
      <c r="BU93" s="5" t="n">
        <v>36.4</v>
      </c>
      <c r="BV93" s="5" t="n">
        <v>48.2</v>
      </c>
      <c r="BW93" s="5" t="n">
        <v>9.6</v>
      </c>
      <c r="BX93" s="5" t="n">
        <v>4.7</v>
      </c>
    </row>
    <row r="94" customFormat="1" s="5">
      <c r="A94" s="5" t="n">
        <v>1</v>
      </c>
      <c r="B94" s="5" t="n">
        <v>566</v>
      </c>
      <c r="C94" s="5" t="inlineStr">
        <is>
          <t>Заячук Володимир Володимирович</t>
        </is>
      </c>
      <c r="D94" s="5" t="n">
        <v>70</v>
      </c>
      <c r="E94" s="5" t="inlineStr">
        <is>
          <t>ч</t>
        </is>
      </c>
      <c r="F94" s="5" t="inlineStr">
        <is>
          <t>дружина Христина 0993782760</t>
        </is>
      </c>
      <c r="G94" s="5" t="inlineStr">
        <is>
          <t>Негосп дв полісегм пнев 4 кл група</t>
        </is>
      </c>
      <c r="H94" s="5" t="inlineStr">
        <is>
          <t>важкий</t>
        </is>
      </c>
      <c r="I94" s="5" t="inlineStr">
        <is>
          <t>ІІ-ІІІ</t>
        </is>
      </c>
      <c r="J94" s="5" t="inlineStr">
        <is>
          <t>Прогресуюча серц-леген недос .Набряк легень . Мускатна печінка</t>
        </is>
      </c>
      <c r="K94" s="5" t="inlineStr">
        <is>
          <t>ІХС.ДК. Волога гангрена обох стоп і гомілок</t>
        </is>
      </c>
      <c r="O94" s="5" t="n">
        <v>88</v>
      </c>
      <c r="P94" s="5" t="n">
        <v>94</v>
      </c>
      <c r="R94" s="5" t="n">
        <v>4</v>
      </c>
      <c r="S94" s="6" t="n">
        <v>44576</v>
      </c>
      <c r="T94" s="6" t="n">
        <v>44579</v>
      </c>
      <c r="U94" s="5" t="n">
        <v>3</v>
      </c>
      <c r="V94" s="6" t="n">
        <v>44580</v>
      </c>
      <c r="W94" s="6" t="n"/>
      <c r="X94" s="5" t="inlineStr">
        <is>
          <t>5днів вдома</t>
        </is>
      </c>
      <c r="Z94" s="5" t="inlineStr">
        <is>
          <t>110/70</t>
        </is>
      </c>
      <c r="AA94" s="5" t="inlineStr">
        <is>
          <t>110/70</t>
        </is>
      </c>
      <c r="AB94" s="5" t="n">
        <v>3</v>
      </c>
      <c r="AC94" s="5" t="inlineStr">
        <is>
          <t xml:space="preserve">ознаки ексудативного плевриту та аневризми аорти </t>
        </is>
      </c>
      <c r="AD94" s="5" t="n">
        <v>98</v>
      </c>
      <c r="AF94" s="5" t="inlineStr">
        <is>
          <t>12.0</t>
        </is>
      </c>
      <c r="AH94" s="5" t="n">
        <v>5</v>
      </c>
      <c r="AJ94" s="5" t="n">
        <v>88</v>
      </c>
      <c r="AL94" s="5" t="n">
        <v>6</v>
      </c>
      <c r="AN94" s="5" t="n">
        <v>20</v>
      </c>
      <c r="AP94" s="5" t="n">
        <v>18</v>
      </c>
      <c r="AR94" s="8" t="n"/>
      <c r="AT94" s="8" t="n"/>
      <c r="AV94" s="8" t="n"/>
      <c r="AX94" s="8" t="n"/>
      <c r="AY94" s="5" t="n">
        <v>34</v>
      </c>
      <c r="BA94" s="5" t="n">
        <v>7.9</v>
      </c>
      <c r="BB94" s="8" t="n"/>
      <c r="BC94" s="5" t="n">
        <v>5.5</v>
      </c>
      <c r="BD94" s="8" t="n"/>
      <c r="BE94" s="5" t="n">
        <v>0.8</v>
      </c>
      <c r="BG94" s="5" t="n">
        <v>64.5</v>
      </c>
      <c r="BI94" s="5" t="n">
        <v>26.3</v>
      </c>
      <c r="BK94" s="5" t="n">
        <v>139</v>
      </c>
      <c r="BS94" s="5" t="n">
        <v>43</v>
      </c>
      <c r="BU94" s="5" t="n">
        <v>35.4</v>
      </c>
      <c r="BW94" s="5" t="n">
        <v>6.6</v>
      </c>
    </row>
    <row r="95" customFormat="1" s="5">
      <c r="A95" s="5" t="n">
        <v>1</v>
      </c>
      <c r="B95" s="5" t="n">
        <v>1677</v>
      </c>
      <c r="C95" s="5" t="inlineStr">
        <is>
          <t>Бабійа Валентина Іванівна</t>
        </is>
      </c>
      <c r="D95" s="5" t="n">
        <v>77</v>
      </c>
      <c r="E95" s="5" t="inlineStr">
        <is>
          <t>ж</t>
        </is>
      </c>
      <c r="F95" s="5" t="inlineStr">
        <is>
          <t>дочка галина 0507002238</t>
        </is>
      </c>
      <c r="G95" s="5" t="inlineStr">
        <is>
          <t>Негосп дв полісегм пнев 4 кл група</t>
        </is>
      </c>
      <c r="H95" s="5" t="inlineStr">
        <is>
          <t>важкий</t>
        </is>
      </c>
      <c r="I95" s="5" t="inlineStr">
        <is>
          <t>ІІ-ІІІ</t>
        </is>
      </c>
      <c r="J95" s="5" t="inlineStr">
        <is>
          <t>Гострий респіраторний дистрес синдром. Гостра серц-леген недос .Гостра емфізема легень.Сладж синдром</t>
        </is>
      </c>
      <c r="K95" s="5" t="inlineStr">
        <is>
          <t>ІХС ДК ГХст2. ЦД</t>
        </is>
      </c>
      <c r="O95" s="5" t="n">
        <v>83</v>
      </c>
      <c r="P95" s="5" t="n">
        <v>94</v>
      </c>
      <c r="R95" s="5" t="n">
        <v>7</v>
      </c>
      <c r="S95" s="6" t="n">
        <v>44609</v>
      </c>
      <c r="T95" s="6" t="n">
        <v>44616</v>
      </c>
      <c r="U95" s="5" t="n">
        <v>7</v>
      </c>
      <c r="V95" s="6" t="n">
        <v>44616</v>
      </c>
      <c r="W95" s="5" t="inlineStr">
        <is>
          <t>3 дні до госп</t>
        </is>
      </c>
      <c r="Z95" s="5" t="inlineStr">
        <is>
          <t>150/100</t>
        </is>
      </c>
      <c r="AA95" s="5" t="inlineStr">
        <is>
          <t>130/80</t>
        </is>
      </c>
      <c r="AB95" s="5" t="n">
        <v>7</v>
      </c>
      <c r="AC95" s="9" t="inlineStr">
        <is>
          <t xml:space="preserve">                                              даних немає</t>
        </is>
      </c>
      <c r="AD95" s="5" t="n">
        <v>128</v>
      </c>
      <c r="AF95" s="5" t="n">
        <v>11.3</v>
      </c>
      <c r="AG95" s="8" t="n"/>
      <c r="AH95" s="5" t="n">
        <v>6</v>
      </c>
      <c r="AJ95" s="5" t="n">
        <v>86</v>
      </c>
      <c r="AL95" s="5" t="n">
        <v>5</v>
      </c>
      <c r="AN95" s="5" t="n">
        <v>54</v>
      </c>
      <c r="AP95" s="5" t="n">
        <v>15</v>
      </c>
      <c r="AY95" s="5" t="n">
        <v>35</v>
      </c>
      <c r="BA95" s="5" t="n">
        <v>13.2</v>
      </c>
      <c r="BC95" s="5" t="n">
        <v>5.99</v>
      </c>
      <c r="BE95" s="5" t="n">
        <v>1.29</v>
      </c>
      <c r="BG95" s="5" t="n">
        <v>74</v>
      </c>
      <c r="BI95" s="5" t="n">
        <v>9.6</v>
      </c>
      <c r="BK95" s="5" t="n">
        <v>89</v>
      </c>
      <c r="BM95" s="5" t="n">
        <v>18.7</v>
      </c>
      <c r="BO95" s="5" t="n">
        <v>6.8</v>
      </c>
      <c r="BQ95" s="5" t="n">
        <v>11.1</v>
      </c>
      <c r="BS95" s="5" t="n">
        <v>22.3</v>
      </c>
      <c r="BU95" s="5" t="n">
        <v>24.1</v>
      </c>
      <c r="BW95" s="5" t="n">
        <v>13.4</v>
      </c>
    </row>
    <row r="96" customFormat="1" s="5">
      <c r="A96" s="5" t="n">
        <v>1</v>
      </c>
      <c r="B96" s="5" t="n">
        <v>1805</v>
      </c>
      <c r="C96" s="5" t="inlineStr">
        <is>
          <t>Багрійа Світлана Олександрівна</t>
        </is>
      </c>
      <c r="D96" s="5" t="n">
        <v>66</v>
      </c>
      <c r="E96" s="5" t="inlineStr">
        <is>
          <t>ж</t>
        </is>
      </c>
      <c r="F96" s="5" t="inlineStr">
        <is>
          <t>невістка Дарина 0635013510</t>
        </is>
      </c>
      <c r="G96" s="5" t="inlineStr">
        <is>
          <t>Негосп дв полісегм пнев 4 кл група</t>
        </is>
      </c>
      <c r="H96" s="5" t="inlineStr">
        <is>
          <t>важкий</t>
        </is>
      </c>
      <c r="I96" s="5" t="inlineStr">
        <is>
          <t>ІІ-ІІІ</t>
        </is>
      </c>
      <c r="J96" s="5" t="inlineStr">
        <is>
          <t>Гострий респіраторний дистрес синдром. Гостра серц-леген недос .Гостра емфізема легень.Токсико-інфекційний шок</t>
        </is>
      </c>
      <c r="K96" s="5" t="inlineStr">
        <is>
          <t>ІХС.ДК. ЦД. Атеросклероз аорти</t>
        </is>
      </c>
      <c r="O96" s="5" t="n">
        <v>84</v>
      </c>
      <c r="P96" s="5" t="n">
        <v>92</v>
      </c>
      <c r="R96" s="5" t="n">
        <v>5</v>
      </c>
      <c r="S96" s="6" t="n">
        <v>44592</v>
      </c>
      <c r="T96" s="6" t="n">
        <v>44609</v>
      </c>
      <c r="U96" s="5" t="n">
        <v>17</v>
      </c>
      <c r="V96" s="6" t="n">
        <v>44610</v>
      </c>
      <c r="W96" s="5" t="inlineStr">
        <is>
          <t>4дні до госп</t>
        </is>
      </c>
      <c r="Z96" s="5" t="inlineStr">
        <is>
          <t>140/80</t>
        </is>
      </c>
      <c r="AA96" s="5" t="inlineStr">
        <is>
          <t>130/80</t>
        </is>
      </c>
      <c r="AB96" s="5" t="n">
        <v>17</v>
      </c>
      <c r="AC96" s="5" t="inlineStr">
        <is>
          <t>виражені інтерстиційні зміни біл в базально-латеральних сегментах</t>
        </is>
      </c>
      <c r="AD96" s="5" t="n">
        <v>126</v>
      </c>
      <c r="AE96" s="5" t="n">
        <v>144</v>
      </c>
      <c r="AF96" s="5" t="n">
        <v>9.699999999999999</v>
      </c>
      <c r="AG96" s="5" t="n">
        <v>22.9</v>
      </c>
      <c r="AH96" s="5" t="n">
        <v>17</v>
      </c>
      <c r="AI96" s="5" t="n">
        <v>9</v>
      </c>
      <c r="AJ96" s="5" t="n">
        <v>71</v>
      </c>
      <c r="AK96" s="5" t="n">
        <v>90</v>
      </c>
      <c r="AL96" s="5" t="n">
        <v>6</v>
      </c>
      <c r="AM96" s="5" t="n">
        <v>1</v>
      </c>
      <c r="AN96" s="5" t="n">
        <v>49</v>
      </c>
      <c r="AO96" s="5" t="n">
        <v>7</v>
      </c>
      <c r="AP96" s="5" t="n">
        <v>18</v>
      </c>
      <c r="AQ96" s="5" t="n">
        <v>12</v>
      </c>
      <c r="AY96" s="5" t="n">
        <v>38</v>
      </c>
      <c r="AZ96" s="5" t="n">
        <v>40</v>
      </c>
      <c r="BA96" s="5" t="n">
        <v>13.5</v>
      </c>
      <c r="BB96" s="5" t="n">
        <v>11.8</v>
      </c>
      <c r="BC96" s="5" t="n">
        <v>5.02</v>
      </c>
      <c r="BD96" s="5" t="n">
        <v>3.75</v>
      </c>
      <c r="BE96" s="5" t="n">
        <v>1.29</v>
      </c>
      <c r="BF96" s="5" t="n">
        <v>1.15</v>
      </c>
      <c r="BG96" s="5" t="n">
        <v>70.40000000000001</v>
      </c>
      <c r="BH96" s="5" t="n">
        <v>63</v>
      </c>
      <c r="BI96" s="5" t="n">
        <v>6.3</v>
      </c>
      <c r="BJ96" s="5" t="n">
        <v>5</v>
      </c>
      <c r="BK96" s="5" t="n">
        <v>111.8</v>
      </c>
      <c r="BL96" s="5" t="n">
        <v>71</v>
      </c>
      <c r="BM96" s="5" t="n">
        <v>18.7</v>
      </c>
      <c r="BO96" s="5" t="n">
        <v>6.8</v>
      </c>
      <c r="BQ96" s="5" t="n">
        <v>11.9</v>
      </c>
      <c r="BS96" s="5" t="n">
        <v>17.58</v>
      </c>
      <c r="BT96" s="5" t="n">
        <v>52.4</v>
      </c>
      <c r="BU96" s="5" t="n">
        <v>47.88</v>
      </c>
      <c r="BV96" s="5" t="n">
        <v>45.2</v>
      </c>
      <c r="BW96" s="5" t="n">
        <v>10.2</v>
      </c>
      <c r="BX96" s="5" t="n">
        <v>7.4</v>
      </c>
    </row>
    <row r="97" customFormat="1" s="5">
      <c r="A97" s="5" t="n">
        <v>1</v>
      </c>
      <c r="B97" s="5" t="n">
        <v>2298</v>
      </c>
      <c r="C97" s="5" t="inlineStr">
        <is>
          <t>Романюка Уляна Богданівна</t>
        </is>
      </c>
      <c r="D97" s="5" t="n">
        <v>68</v>
      </c>
      <c r="E97" s="5" t="inlineStr">
        <is>
          <t>ж</t>
        </is>
      </c>
      <c r="F97" s="5" t="inlineStr">
        <is>
          <t>син Віктор 0995165850</t>
        </is>
      </c>
      <c r="G97" s="5" t="inlineStr">
        <is>
          <t>Негосп дв полісегм пнев 4 кл група</t>
        </is>
      </c>
      <c r="H97" s="5" t="inlineStr">
        <is>
          <t>важкий</t>
        </is>
      </c>
      <c r="I97" s="5" t="inlineStr">
        <is>
          <t>ІІ-ІІІ</t>
        </is>
      </c>
      <c r="J97" s="5" t="inlineStr">
        <is>
          <t>Гострий респіраторний дистрес синдром. Гостра серц-леген недос .Гостра емфізема легень.Токсико-інфекційний шок</t>
        </is>
      </c>
      <c r="K97" s="5" t="inlineStr">
        <is>
          <t>ІХС.ДК. ЦД. Атеросклероз аорти</t>
        </is>
      </c>
      <c r="O97" s="5" t="n">
        <v>82</v>
      </c>
      <c r="P97" s="5" t="n">
        <v>98</v>
      </c>
      <c r="R97" s="5" t="n">
        <v>10</v>
      </c>
      <c r="S97" s="6" t="n">
        <v>44698</v>
      </c>
      <c r="T97" s="6" t="n">
        <v>44718</v>
      </c>
      <c r="U97" s="5" t="n">
        <v>20</v>
      </c>
      <c r="V97" s="6" t="n">
        <v>44719</v>
      </c>
      <c r="W97" s="5" t="inlineStr">
        <is>
          <t>4дні до госп</t>
        </is>
      </c>
      <c r="Y97" s="5" t="inlineStr">
        <is>
          <t>4 дні в стац</t>
        </is>
      </c>
      <c r="Z97" s="5" t="inlineStr">
        <is>
          <t>130/80</t>
        </is>
      </c>
      <c r="AA97" s="5" t="inlineStr">
        <is>
          <t>130/80</t>
        </is>
      </c>
      <c r="AB97" s="5" t="n">
        <v>20</v>
      </c>
      <c r="AC97" s="5" t="inlineStr">
        <is>
          <t>виражені інтерстиційні зміни біл в базально-латеральних сегментах</t>
        </is>
      </c>
      <c r="AD97" s="5" t="n">
        <v>120</v>
      </c>
      <c r="AE97" s="5" t="n">
        <v>125</v>
      </c>
      <c r="AF97" s="5" t="n">
        <v>7.3</v>
      </c>
      <c r="AG97" s="5" t="n">
        <v>19.4</v>
      </c>
      <c r="AH97" s="5" t="n">
        <v>15</v>
      </c>
      <c r="AI97" s="5" t="n">
        <v>14</v>
      </c>
      <c r="AJ97" s="5" t="n">
        <v>79</v>
      </c>
      <c r="AK97" s="5" t="n">
        <v>81</v>
      </c>
      <c r="AL97" s="5" t="n">
        <v>4</v>
      </c>
      <c r="AM97" s="5" t="n">
        <v>2</v>
      </c>
      <c r="AN97" s="5" t="n">
        <v>52</v>
      </c>
      <c r="AO97" s="5" t="n">
        <v>44</v>
      </c>
      <c r="AP97" s="5" t="n">
        <v>18</v>
      </c>
      <c r="AQ97" s="5" t="n">
        <v>12</v>
      </c>
      <c r="AU97" s="5" t="n">
        <v>4148</v>
      </c>
      <c r="AV97" s="5" t="n">
        <v>1800</v>
      </c>
      <c r="AX97" s="5" t="inlineStr">
        <is>
          <t>0.10</t>
        </is>
      </c>
      <c r="AY97" s="5" t="n">
        <v>36</v>
      </c>
      <c r="AZ97" s="5" t="n">
        <v>38</v>
      </c>
      <c r="BA97" s="5" t="n">
        <v>13.2</v>
      </c>
      <c r="BB97" s="5" t="n">
        <v>13</v>
      </c>
      <c r="BC97" s="5" t="n">
        <v>6</v>
      </c>
      <c r="BD97" s="5" t="n">
        <v>6.7</v>
      </c>
      <c r="BE97" s="5" t="n">
        <v>1.26</v>
      </c>
      <c r="BF97" s="5" t="n">
        <v>1.31</v>
      </c>
      <c r="BG97" s="5" t="n">
        <v>60</v>
      </c>
      <c r="BH97" s="5" t="n">
        <v>57</v>
      </c>
      <c r="BI97" s="5" t="n">
        <v>8</v>
      </c>
      <c r="BJ97" s="5" t="n">
        <v>8</v>
      </c>
      <c r="BK97" s="5" t="n">
        <v>107</v>
      </c>
      <c r="BL97" s="5" t="n">
        <v>114</v>
      </c>
      <c r="BM97" s="5" t="n">
        <v>13.6</v>
      </c>
      <c r="BN97" s="5" t="n">
        <v>15.3</v>
      </c>
      <c r="BO97" s="5" t="n">
        <v>3.4</v>
      </c>
      <c r="BP97" s="5" t="n">
        <v>5.1</v>
      </c>
      <c r="BQ97" s="5" t="n">
        <v>10.2</v>
      </c>
      <c r="BR97" s="5" t="n">
        <v>10.2</v>
      </c>
      <c r="BS97" s="5" t="n">
        <v>24.1</v>
      </c>
      <c r="BT97" s="5" t="n">
        <v>60.4</v>
      </c>
      <c r="BU97" s="5" t="n">
        <v>18.1</v>
      </c>
      <c r="BV97" s="5" t="n">
        <v>45.5</v>
      </c>
      <c r="BW97" s="5" t="n">
        <v>13</v>
      </c>
      <c r="BX97" s="5" t="n">
        <v>7.4</v>
      </c>
      <c r="BY97" s="5" t="inlineStr">
        <is>
          <t>Інсульт тричі</t>
        </is>
      </c>
    </row>
    <row r="98" customFormat="1" s="5">
      <c r="A98" s="5" t="n">
        <v>1</v>
      </c>
      <c r="B98" s="5" t="n">
        <v>1471</v>
      </c>
      <c r="C98" s="5" t="inlineStr">
        <is>
          <t>Дзюба Юрій Андрійович</t>
        </is>
      </c>
      <c r="D98" s="5" t="n">
        <v>62</v>
      </c>
      <c r="E98" s="5" t="inlineStr">
        <is>
          <t>ч</t>
        </is>
      </c>
      <c r="F98" s="5" t="inlineStr">
        <is>
          <t>дружина Катерина 0503022502</t>
        </is>
      </c>
      <c r="G98" s="5" t="inlineStr">
        <is>
          <t>Негосп дв полісегм пнев 4 кл група</t>
        </is>
      </c>
      <c r="H98" s="5" t="inlineStr">
        <is>
          <t>важкий</t>
        </is>
      </c>
      <c r="I98" s="5" t="inlineStr">
        <is>
          <t>ІІ-ІІІ</t>
        </is>
      </c>
      <c r="J98" s="5" t="inlineStr">
        <is>
          <t>Прогресуюча серц-леген недос .Набряк легень . Сладж синдром</t>
        </is>
      </c>
      <c r="K98" s="5" t="inlineStr">
        <is>
          <t>ІХС.ДК. ЦД. Атеросклероз аорти.Дифузний ліпоматоз (ожиріння 3)</t>
        </is>
      </c>
      <c r="O98" s="5" t="n">
        <v>83</v>
      </c>
      <c r="P98" s="5" t="n">
        <v>98</v>
      </c>
      <c r="R98" s="5" t="n">
        <v>5</v>
      </c>
      <c r="S98" s="6" t="n">
        <v>44693</v>
      </c>
      <c r="T98" s="6" t="n">
        <v>44703</v>
      </c>
      <c r="U98" s="5" t="n">
        <v>10</v>
      </c>
      <c r="V98" s="6" t="n">
        <v>44703</v>
      </c>
      <c r="X98" s="5" t="inlineStr">
        <is>
          <t>3дні вдома</t>
        </is>
      </c>
      <c r="Y98" s="5" t="inlineStr">
        <is>
          <t>3 дні в стац</t>
        </is>
      </c>
      <c r="Z98" s="5" t="inlineStr">
        <is>
          <t>150/100</t>
        </is>
      </c>
      <c r="AA98" s="5" t="inlineStr">
        <is>
          <t>130/80</t>
        </is>
      </c>
      <c r="AB98" s="5" t="n">
        <v>10</v>
      </c>
      <c r="AC98" s="5" t="inlineStr">
        <is>
          <t>виражені інтерстиційні зміни , консолідації  зліва та справа</t>
        </is>
      </c>
      <c r="AD98" s="5" t="n">
        <v>136</v>
      </c>
      <c r="AE98" s="5" t="n">
        <v>138</v>
      </c>
      <c r="AF98" s="5" t="n">
        <v>4.1</v>
      </c>
      <c r="AG98" s="5" t="n">
        <v>7</v>
      </c>
      <c r="AH98" s="5" t="n">
        <v>27</v>
      </c>
      <c r="AI98" s="5" t="n">
        <v>7</v>
      </c>
      <c r="AJ98" s="5" t="n">
        <v>61</v>
      </c>
      <c r="AK98" s="5" t="n">
        <v>69</v>
      </c>
      <c r="AL98" s="5" t="n">
        <v>10</v>
      </c>
      <c r="AM98" s="5" t="n">
        <v>15</v>
      </c>
      <c r="AN98" s="5" t="n">
        <v>11</v>
      </c>
      <c r="AO98" s="5" t="n">
        <v>16</v>
      </c>
      <c r="AP98" s="5" t="n">
        <v>6</v>
      </c>
      <c r="AQ98" s="5" t="n">
        <v>6</v>
      </c>
      <c r="AR98" s="5" t="n">
        <v>5.33</v>
      </c>
      <c r="AU98" s="5" t="n">
        <v>10000</v>
      </c>
      <c r="AV98" s="5" t="n">
        <v>3935</v>
      </c>
      <c r="AX98" s="5" t="inlineStr">
        <is>
          <t>0.10</t>
        </is>
      </c>
      <c r="AY98" s="5" t="n">
        <v>41</v>
      </c>
      <c r="AZ98" s="5" t="n">
        <v>42</v>
      </c>
      <c r="BA98" s="5" t="n">
        <v>12.2</v>
      </c>
      <c r="BB98" s="5" t="n">
        <v>15.1</v>
      </c>
      <c r="BC98" s="5" t="n">
        <v>2.97</v>
      </c>
      <c r="BD98" s="5" t="n">
        <v>2.52</v>
      </c>
      <c r="BE98" s="5" t="n">
        <v>1.18</v>
      </c>
      <c r="BF98" s="5" t="n">
        <v>1.43</v>
      </c>
      <c r="BG98" s="5" t="n">
        <v>78</v>
      </c>
      <c r="BH98" s="5" t="n">
        <v>63</v>
      </c>
      <c r="BI98" s="5" t="n">
        <v>5</v>
      </c>
      <c r="BJ98" s="5" t="n">
        <v>11.4</v>
      </c>
      <c r="BK98" s="5" t="n">
        <v>78</v>
      </c>
      <c r="BL98" s="5" t="n">
        <v>150</v>
      </c>
      <c r="BM98" s="5" t="n">
        <v>11.9</v>
      </c>
      <c r="BN98" s="5" t="n">
        <v>17</v>
      </c>
      <c r="BO98" s="5" t="n">
        <v>3.4</v>
      </c>
      <c r="BP98" s="5" t="n">
        <v>5.1</v>
      </c>
      <c r="BQ98" s="5" t="n">
        <v>8.5</v>
      </c>
      <c r="BR98" s="5" t="n">
        <v>11.9</v>
      </c>
      <c r="BS98" s="5" t="n">
        <v>30.2</v>
      </c>
      <c r="BT98" s="5" t="n">
        <v>75.40000000000001</v>
      </c>
      <c r="BU98" s="5" t="n">
        <v>18.1</v>
      </c>
      <c r="BV98" s="5" t="n">
        <v>48.2</v>
      </c>
      <c r="BW98" s="5" t="n">
        <v>6</v>
      </c>
      <c r="BX98" s="5" t="n">
        <v>9.800000000000001</v>
      </c>
      <c r="BY98" s="5" t="inlineStr">
        <is>
          <t xml:space="preserve">Часті напади агресії </t>
        </is>
      </c>
    </row>
    <row r="99" customFormat="1" s="5">
      <c r="A99" s="5" t="n">
        <v>1</v>
      </c>
      <c r="B99" s="5" t="n">
        <v>2105</v>
      </c>
      <c r="C99" s="5" t="inlineStr">
        <is>
          <t xml:space="preserve">Лесюк Павло Петрович </t>
        </is>
      </c>
      <c r="D99" s="5" t="n">
        <v>47</v>
      </c>
      <c r="E99" s="5" t="inlineStr">
        <is>
          <t>ч</t>
        </is>
      </c>
      <c r="F99" s="5" t="inlineStr">
        <is>
          <t>дружина Марія 0963419082</t>
        </is>
      </c>
      <c r="G99" s="5" t="inlineStr">
        <is>
          <t>Негосп дв полісегм пнев 4 кл група</t>
        </is>
      </c>
      <c r="H99" s="5" t="inlineStr">
        <is>
          <t>важкий</t>
        </is>
      </c>
      <c r="I99" s="5" t="inlineStr">
        <is>
          <t>ІІ-ІІІ</t>
        </is>
      </c>
      <c r="J99" s="5" t="inlineStr">
        <is>
          <t>Прогресуюча серц-леген недос .Набряк легень . Сладж синдром</t>
        </is>
      </c>
      <c r="K99" s="5" t="inlineStr">
        <is>
          <t>Цукровий діабет Іітип , Опасистість ІІІ</t>
        </is>
      </c>
      <c r="L99" s="7" t="n">
        <v>0.35</v>
      </c>
      <c r="M99" s="5" t="inlineStr">
        <is>
          <t>середній</t>
        </is>
      </c>
      <c r="O99" s="5" t="n">
        <v>78</v>
      </c>
      <c r="P99" s="5" t="n">
        <v>96</v>
      </c>
      <c r="R99" s="5" t="n">
        <v>7</v>
      </c>
      <c r="S99" s="6" t="n">
        <v>44694</v>
      </c>
      <c r="T99" s="6" t="n">
        <v>44710</v>
      </c>
      <c r="U99" s="5" t="n">
        <v>16</v>
      </c>
      <c r="V99" s="6" t="n">
        <v>44710</v>
      </c>
      <c r="X99" s="5" t="inlineStr">
        <is>
          <t>3дні вдома</t>
        </is>
      </c>
      <c r="Y99" s="5" t="inlineStr">
        <is>
          <t>4 дні в стац</t>
        </is>
      </c>
      <c r="Z99" s="5" t="inlineStr">
        <is>
          <t>130/80</t>
        </is>
      </c>
      <c r="AA99" s="5" t="inlineStr">
        <is>
          <t>130/80</t>
        </is>
      </c>
      <c r="AB99" s="5" t="n">
        <v>16</v>
      </c>
      <c r="AC99" s="5" t="inlineStr">
        <is>
          <t>виражені інтерстиційні зміни біл в базально-латеральних сегментах</t>
        </is>
      </c>
      <c r="AD99" s="5" t="n">
        <v>160</v>
      </c>
      <c r="AE99" s="5" t="n">
        <v>145</v>
      </c>
      <c r="AF99" s="5" t="n">
        <v>11.4</v>
      </c>
      <c r="AG99" s="5" t="n">
        <v>8</v>
      </c>
      <c r="AH99" s="5" t="n">
        <v>20</v>
      </c>
      <c r="AI99" s="5" t="n">
        <v>24</v>
      </c>
      <c r="AJ99" s="5" t="n">
        <v>60</v>
      </c>
      <c r="AK99" s="5" t="n">
        <v>70</v>
      </c>
      <c r="AL99" s="5" t="n">
        <v>16</v>
      </c>
      <c r="AM99" s="5" t="n">
        <v>4</v>
      </c>
      <c r="AN99" s="5" t="n">
        <v>37</v>
      </c>
      <c r="AO99" s="5" t="n">
        <v>35</v>
      </c>
      <c r="AP99" s="5" t="n">
        <v>9</v>
      </c>
      <c r="AQ99" s="5" t="n">
        <v>12</v>
      </c>
      <c r="AR99" s="5" t="n">
        <v>12.43</v>
      </c>
      <c r="AU99" s="5" t="n">
        <v>2253</v>
      </c>
      <c r="AV99" s="5" t="n">
        <v>1063</v>
      </c>
      <c r="AX99" s="5" t="inlineStr">
        <is>
          <t>0.10</t>
        </is>
      </c>
      <c r="AY99" s="5" t="n">
        <v>45</v>
      </c>
      <c r="AZ99" s="5" t="n">
        <v>49</v>
      </c>
      <c r="BA99" s="5" t="n">
        <v>12.3</v>
      </c>
      <c r="BB99" s="5" t="n">
        <v>10</v>
      </c>
      <c r="BC99" s="5" t="n">
        <v>6.07</v>
      </c>
      <c r="BD99" s="5" t="n">
        <v>6.05</v>
      </c>
      <c r="BE99" s="5" t="n">
        <v>1.19</v>
      </c>
      <c r="BF99" s="5" t="n">
        <v>0.08</v>
      </c>
      <c r="BG99" s="5" t="n">
        <v>60</v>
      </c>
      <c r="BH99" s="5" t="n">
        <v>69</v>
      </c>
      <c r="BI99" s="5" t="n">
        <v>6</v>
      </c>
      <c r="BJ99" s="5" t="n">
        <v>4.9</v>
      </c>
      <c r="BK99" s="5" t="n">
        <v>85</v>
      </c>
      <c r="BL99" s="5" t="n">
        <v>77</v>
      </c>
      <c r="BM99" s="5" t="n">
        <v>17</v>
      </c>
      <c r="BN99" s="5" t="n">
        <v>11.9</v>
      </c>
      <c r="BO99" s="5" t="n">
        <v>5.1</v>
      </c>
      <c r="BP99" s="5" t="n">
        <v>3.4</v>
      </c>
      <c r="BQ99" s="5" t="n">
        <v>11.9</v>
      </c>
      <c r="BR99" s="5" t="n">
        <v>7.5</v>
      </c>
      <c r="BS99" s="5" t="n">
        <v>45.2</v>
      </c>
      <c r="BT99" s="5" t="n">
        <v>37.4</v>
      </c>
      <c r="BU99" s="5" t="n">
        <v>36.2</v>
      </c>
      <c r="BV99" s="5" t="n">
        <v>24.1</v>
      </c>
      <c r="BW99" s="5" t="n">
        <v>17.4</v>
      </c>
      <c r="BX99" s="5" t="n">
        <v>11.9</v>
      </c>
    </row>
    <row r="100" customFormat="1" s="5">
      <c r="A100" s="5" t="n">
        <v>1</v>
      </c>
      <c r="B100" s="5" t="n">
        <v>1640</v>
      </c>
      <c r="C100" s="5" t="inlineStr">
        <is>
          <t>Перепелюка Ірина Сергіївна</t>
        </is>
      </c>
      <c r="D100" s="5" t="n">
        <v>93</v>
      </c>
      <c r="E100" s="5" t="inlineStr">
        <is>
          <t>ж</t>
        </is>
      </c>
      <c r="F100" s="5" t="inlineStr">
        <is>
          <t>родич Роман 0998637877</t>
        </is>
      </c>
      <c r="G100" s="5" t="inlineStr">
        <is>
          <t>Негосп дв полісегм пнев 4 кл група</t>
        </is>
      </c>
      <c r="H100" s="5" t="inlineStr">
        <is>
          <t>важкий</t>
        </is>
      </c>
      <c r="I100" s="5" t="inlineStr">
        <is>
          <t>ІІ-ІІІ</t>
        </is>
      </c>
      <c r="J100" s="5" t="inlineStr">
        <is>
          <t>Гострий респіраторний дистрес синдром. Гостра серц-леген недос .Гостра емфізема легень.Токсико-інфекційний шок.Сладж синдром</t>
        </is>
      </c>
      <c r="K100" s="5" t="inlineStr">
        <is>
          <t>ІХС.ДК.ГХ ст2  .Атеросклероз аорти</t>
        </is>
      </c>
      <c r="O100" s="5" t="n">
        <v>84</v>
      </c>
      <c r="P100" s="5" t="n">
        <v>97</v>
      </c>
      <c r="R100" s="5" t="n">
        <v>8</v>
      </c>
      <c r="S100" s="6" t="n">
        <v>44691</v>
      </c>
      <c r="T100" s="6" t="n">
        <v>44694</v>
      </c>
      <c r="U100" s="5" t="n">
        <v>3</v>
      </c>
      <c r="V100" s="6" t="n">
        <v>44695</v>
      </c>
      <c r="Y100" s="5" t="inlineStr">
        <is>
          <t>5 днів вдома</t>
        </is>
      </c>
      <c r="Z100" s="5" t="inlineStr">
        <is>
          <t>150/100</t>
        </is>
      </c>
      <c r="AA100" s="5" t="inlineStr">
        <is>
          <t>130/80</t>
        </is>
      </c>
      <c r="AB100" s="5" t="n">
        <v>3</v>
      </c>
      <c r="AC100" s="5" t="inlineStr">
        <is>
          <t xml:space="preserve">помірні інтерстиційні зміни </t>
        </is>
      </c>
      <c r="AD100" s="5" t="n">
        <v>125</v>
      </c>
      <c r="AF100" s="5" t="n">
        <v>2.5</v>
      </c>
      <c r="AH100" s="5" t="n">
        <v>8</v>
      </c>
      <c r="AJ100" s="5" t="n">
        <v>56</v>
      </c>
      <c r="AL100" s="5" t="n">
        <v>25</v>
      </c>
      <c r="AN100" s="5" t="n">
        <v>23</v>
      </c>
      <c r="AP100" s="5" t="n">
        <v>18</v>
      </c>
      <c r="AY100" s="5" t="n">
        <v>38</v>
      </c>
      <c r="BA100" s="5" t="n">
        <v>9.699999999999999</v>
      </c>
      <c r="BC100" s="5" t="n">
        <v>2.43</v>
      </c>
      <c r="BE100" s="5" t="n">
        <v>0.96</v>
      </c>
      <c r="BG100" s="5" t="n">
        <v>82.7</v>
      </c>
      <c r="BI100" s="5" t="n">
        <v>25.1</v>
      </c>
      <c r="BK100" s="5" t="n">
        <v>187.7</v>
      </c>
      <c r="BS100" s="5" t="n">
        <v>30.2</v>
      </c>
      <c r="BU100" s="5" t="n">
        <v>24.1</v>
      </c>
      <c r="BW100" s="5" t="n">
        <v>4.6</v>
      </c>
    </row>
    <row r="101" customFormat="1" s="5">
      <c r="A101" s="5" t="n">
        <v>1</v>
      </c>
      <c r="B101" s="5" t="n">
        <v>3332</v>
      </c>
      <c r="C101" s="5" t="inlineStr">
        <is>
          <t>Ткачука Ганна Дмитрівна</t>
        </is>
      </c>
      <c r="D101" s="5" t="n">
        <v>68</v>
      </c>
      <c r="E101" s="5" t="inlineStr">
        <is>
          <t>ж</t>
        </is>
      </c>
      <c r="F101" s="5" t="inlineStr">
        <is>
          <t>внук Михайло0632764129</t>
        </is>
      </c>
      <c r="G101" s="5" t="inlineStr">
        <is>
          <t>Негосп дв полісегм пнев 4 кл група</t>
        </is>
      </c>
      <c r="H101" s="5" t="inlineStr">
        <is>
          <t>важкий</t>
        </is>
      </c>
      <c r="I101" s="5" t="inlineStr">
        <is>
          <t>ІІ-ІІІ</t>
        </is>
      </c>
      <c r="J101" s="5" t="inlineStr">
        <is>
          <t>Прогресуюча серц-леген недос .Набряк легень . Сладж синдром</t>
        </is>
      </c>
      <c r="K101" s="5" t="inlineStr">
        <is>
          <t>ІХС ДК ГХст2.</t>
        </is>
      </c>
      <c r="O101" s="5" t="n">
        <v>91</v>
      </c>
      <c r="P101" s="5" t="n">
        <v>98</v>
      </c>
      <c r="R101" s="5" t="n">
        <v>14</v>
      </c>
      <c r="S101" s="6" t="n">
        <v>44691</v>
      </c>
      <c r="T101" s="6" t="n">
        <v>44699</v>
      </c>
      <c r="U101" s="5" t="n">
        <v>8</v>
      </c>
      <c r="V101" s="6" t="n">
        <v>44699</v>
      </c>
      <c r="X101" s="5" t="inlineStr">
        <is>
          <t>2дні в стац</t>
        </is>
      </c>
      <c r="Z101" s="5" t="inlineStr">
        <is>
          <t>140/80</t>
        </is>
      </c>
      <c r="AA101" s="5" t="inlineStr">
        <is>
          <t>130/80</t>
        </is>
      </c>
      <c r="AB101" s="5" t="n">
        <v>8</v>
      </c>
      <c r="AC101" s="5" t="inlineStr">
        <is>
          <t>виражені інтерстиційні зміни , дифузний тип</t>
        </is>
      </c>
      <c r="AD101" s="5" t="n">
        <v>99</v>
      </c>
      <c r="AF101" s="5" t="n">
        <v>16.9</v>
      </c>
      <c r="AH101" s="5" t="n">
        <v>20</v>
      </c>
      <c r="AJ101" s="5" t="n">
        <v>78</v>
      </c>
      <c r="AL101" s="5" t="n">
        <v>1</v>
      </c>
      <c r="AN101" s="5" t="n">
        <v>15</v>
      </c>
      <c r="AP101" s="5" t="n">
        <v>18</v>
      </c>
      <c r="AQ101" s="5" t="n">
        <v>6</v>
      </c>
      <c r="AU101" s="5" t="n">
        <v>10000</v>
      </c>
      <c r="AV101" s="5" t="n">
        <v>5000</v>
      </c>
      <c r="AX101" s="5" t="inlineStr">
        <is>
          <t>0.10</t>
        </is>
      </c>
      <c r="AY101" s="5" t="n">
        <v>41</v>
      </c>
      <c r="AZ101" s="5" t="n">
        <v>31</v>
      </c>
      <c r="BA101" s="5" t="n">
        <v>10.4</v>
      </c>
      <c r="BB101" s="5" t="n">
        <v>17</v>
      </c>
      <c r="BC101" s="5" t="n">
        <v>5.52</v>
      </c>
      <c r="BD101" s="5" t="n">
        <v>2.08</v>
      </c>
      <c r="BE101" s="5" t="n">
        <v>1.01</v>
      </c>
      <c r="BF101" s="5" t="n">
        <v>1.6</v>
      </c>
      <c r="BG101" s="5" t="n">
        <v>60.7</v>
      </c>
      <c r="BH101" s="5" t="n">
        <v>50</v>
      </c>
      <c r="BI101" s="5" t="n">
        <v>7.3</v>
      </c>
      <c r="BJ101" s="5" t="n">
        <v>10.9</v>
      </c>
      <c r="BK101" s="5" t="n">
        <v>101</v>
      </c>
      <c r="BL101" s="5" t="n">
        <v>122</v>
      </c>
      <c r="BM101" s="5" t="n">
        <v>11</v>
      </c>
      <c r="BN101" s="5" t="n">
        <v>18.7</v>
      </c>
      <c r="BO101" s="5" t="n">
        <v>3.4</v>
      </c>
      <c r="BP101" s="5" t="n">
        <v>6.8</v>
      </c>
      <c r="BQ101" s="5" t="n">
        <v>8.5</v>
      </c>
      <c r="BR101" s="5" t="n">
        <v>11.6</v>
      </c>
      <c r="BS101" s="5" t="n">
        <v>75.40000000000001</v>
      </c>
      <c r="BT101" s="5" t="n">
        <v>90.40000000000001</v>
      </c>
      <c r="BU101" s="5" t="n">
        <v>60.4</v>
      </c>
      <c r="BV101" s="5" t="n">
        <v>61</v>
      </c>
      <c r="BW101" s="5" t="n">
        <v>7.1</v>
      </c>
      <c r="BX101" s="5" t="n">
        <v>5.8</v>
      </c>
    </row>
    <row r="102" customFormat="1" s="5">
      <c r="A102" s="5" t="n">
        <v>1</v>
      </c>
      <c r="B102" s="5" t="n">
        <v>2373</v>
      </c>
      <c r="C102" s="5" t="inlineStr">
        <is>
          <t>Сорочан Олег Григорович</t>
        </is>
      </c>
      <c r="D102" s="5" t="n">
        <v>61</v>
      </c>
      <c r="E102" s="5" t="inlineStr">
        <is>
          <t>ч</t>
        </is>
      </c>
      <c r="F102" s="5" t="inlineStr">
        <is>
          <t>дружина Оксана 0679360550</t>
        </is>
      </c>
      <c r="G102" s="5" t="inlineStr">
        <is>
          <t>Негосп дв полісегм пнев 4 кл група</t>
        </is>
      </c>
      <c r="H102" s="5" t="inlineStr">
        <is>
          <t>важкий</t>
        </is>
      </c>
      <c r="I102" s="5" t="inlineStr">
        <is>
          <t>ІІ-ІІІ</t>
        </is>
      </c>
      <c r="J102" s="5" t="inlineStr">
        <is>
          <t xml:space="preserve">Прогресуюча серц-леген недос .Набряк легень . Сладж синдром. Гідроперекард . Двобічний гідроторакс </t>
        </is>
      </c>
      <c r="K102" s="5" t="inlineStr">
        <is>
          <t>ІХС ДК ГХст2.</t>
        </is>
      </c>
      <c r="O102" s="5" t="n">
        <v>85</v>
      </c>
      <c r="P102" s="5" t="n">
        <v>96</v>
      </c>
      <c r="R102" s="5" t="n">
        <v>7</v>
      </c>
      <c r="S102" s="6" t="n">
        <v>44635</v>
      </c>
      <c r="T102" s="6" t="n">
        <v>44671</v>
      </c>
      <c r="U102" s="5" t="n">
        <v>37</v>
      </c>
      <c r="V102" s="6" t="n">
        <v>44672</v>
      </c>
      <c r="W102" s="5" t="inlineStr">
        <is>
          <t>3дні вдома</t>
        </is>
      </c>
      <c r="Y102" s="5" t="inlineStr">
        <is>
          <t>4дні в стац</t>
        </is>
      </c>
      <c r="Z102" s="5" t="inlineStr">
        <is>
          <t>150/100</t>
        </is>
      </c>
      <c r="AA102" s="5" t="inlineStr">
        <is>
          <t>140/80</t>
        </is>
      </c>
      <c r="AB102" s="5" t="n">
        <v>37</v>
      </c>
      <c r="AC102" s="5" t="inlineStr">
        <is>
          <t>виражені фіброзні зміни</t>
        </is>
      </c>
      <c r="AD102" s="5" t="n">
        <v>134</v>
      </c>
      <c r="AE102" s="5" t="n">
        <v>103</v>
      </c>
      <c r="AF102" s="5" t="n">
        <v>6.7</v>
      </c>
      <c r="AG102" s="5" t="n">
        <v>7.4</v>
      </c>
      <c r="AH102" s="5" t="n">
        <v>20</v>
      </c>
      <c r="AI102" s="5" t="n">
        <v>33</v>
      </c>
      <c r="AJ102" s="5" t="n">
        <v>59</v>
      </c>
      <c r="AK102" s="5" t="n">
        <v>60</v>
      </c>
      <c r="AL102" s="5" t="n">
        <v>13</v>
      </c>
      <c r="AM102" s="5" t="n">
        <v>5</v>
      </c>
      <c r="AN102" s="5" t="n">
        <v>24</v>
      </c>
      <c r="AO102" s="5" t="n">
        <v>62</v>
      </c>
      <c r="AP102" s="5" t="n">
        <v>12</v>
      </c>
      <c r="AQ102" s="5" t="n">
        <v>12</v>
      </c>
      <c r="AR102" s="5" t="n">
        <v>25.5</v>
      </c>
      <c r="AS102" s="5" t="n">
        <v>5.56</v>
      </c>
      <c r="AU102" s="5" t="n">
        <v>3750</v>
      </c>
      <c r="AV102" s="5" t="n">
        <v>1668</v>
      </c>
      <c r="AX102" s="5" t="inlineStr">
        <is>
          <t>0.10</t>
        </is>
      </c>
      <c r="AY102" s="5" t="n">
        <v>40</v>
      </c>
      <c r="AZ102" s="5" t="n">
        <v>30</v>
      </c>
      <c r="BA102" s="5" t="n">
        <v>11.1</v>
      </c>
      <c r="BB102" s="5" t="n">
        <v>14.6</v>
      </c>
      <c r="BC102" s="5" t="n">
        <v>5.5</v>
      </c>
      <c r="BD102" s="5" t="n">
        <v>7.55</v>
      </c>
      <c r="BE102" s="5" t="n">
        <v>1.08</v>
      </c>
      <c r="BF102" s="5" t="n">
        <v>1.38</v>
      </c>
      <c r="BG102" s="5" t="n">
        <v>66</v>
      </c>
      <c r="BH102" s="5" t="n">
        <v>59</v>
      </c>
      <c r="BI102" s="5" t="n">
        <v>5.1</v>
      </c>
      <c r="BJ102" s="5" t="n">
        <v>3.7</v>
      </c>
      <c r="BK102" s="5" t="n">
        <v>96</v>
      </c>
      <c r="BL102" s="5" t="n">
        <v>64</v>
      </c>
      <c r="BM102" s="5" t="n">
        <v>28.9</v>
      </c>
      <c r="BN102" s="5" t="n">
        <v>11.9</v>
      </c>
      <c r="BO102" s="5" t="n">
        <v>6.8</v>
      </c>
      <c r="BP102" s="5" t="n">
        <v>3.4</v>
      </c>
      <c r="BQ102" s="5" t="n">
        <v>22.1</v>
      </c>
      <c r="BR102" s="5" t="n">
        <v>8.9</v>
      </c>
      <c r="BS102" s="5" t="n">
        <v>100</v>
      </c>
      <c r="BT102" s="5" t="n">
        <v>150.7</v>
      </c>
      <c r="BU102" s="5" t="n">
        <v>60.4</v>
      </c>
      <c r="BV102" s="5" t="n">
        <v>74.2</v>
      </c>
      <c r="BW102" s="5" t="n">
        <v>4.2</v>
      </c>
      <c r="BX102" s="5" t="n">
        <v>5</v>
      </c>
    </row>
    <row r="103" customFormat="1" s="5">
      <c r="A103" s="5" t="n">
        <v>1</v>
      </c>
      <c r="B103" s="5" t="n">
        <v>467</v>
      </c>
      <c r="C103" s="5" t="inlineStr">
        <is>
          <t xml:space="preserve">Оленюка Тетяна Андріївна </t>
        </is>
      </c>
      <c r="D103" s="5" t="n">
        <v>93</v>
      </c>
      <c r="E103" s="5" t="inlineStr">
        <is>
          <t>ж</t>
        </is>
      </c>
      <c r="F103" s="5" t="inlineStr">
        <is>
          <t>невістка Тетяна 0678792687</t>
        </is>
      </c>
      <c r="G103" s="5" t="inlineStr">
        <is>
          <t>Негосп дв полісегм пнев 4 кл група</t>
        </is>
      </c>
      <c r="H103" s="5" t="inlineStr">
        <is>
          <t>важкий</t>
        </is>
      </c>
      <c r="I103" s="5" t="inlineStr">
        <is>
          <t>ІІ-ІІІ</t>
        </is>
      </c>
      <c r="J103" s="5" t="inlineStr">
        <is>
          <t>Гострий респіраторний дистрес синдром. Гостра серц-леген недос .Гостра емфізема легень.Токсико-інфекційний шок.Сладж синдром</t>
        </is>
      </c>
      <c r="K103" s="5" t="inlineStr">
        <is>
          <t>ІХС ДК ГХст2.</t>
        </is>
      </c>
      <c r="O103" s="5" t="n">
        <v>80</v>
      </c>
      <c r="P103" s="5" t="n">
        <v>95</v>
      </c>
      <c r="R103" s="5" t="n">
        <v>10</v>
      </c>
      <c r="S103" s="6" t="n">
        <v>44646</v>
      </c>
      <c r="T103" s="6" t="n">
        <v>44657</v>
      </c>
      <c r="U103" s="5" t="n">
        <v>11</v>
      </c>
      <c r="V103" s="6" t="n">
        <v>44658</v>
      </c>
      <c r="Y103" s="5" t="inlineStr">
        <is>
          <t>4 дні вдома</t>
        </is>
      </c>
      <c r="Z103" s="5" t="inlineStr">
        <is>
          <t>150/100</t>
        </is>
      </c>
      <c r="AA103" s="5" t="inlineStr">
        <is>
          <t>130/80</t>
        </is>
      </c>
      <c r="AB103" s="5" t="n">
        <v>11</v>
      </c>
      <c r="AC103" s="5" t="inlineStr">
        <is>
          <t>виражені фіброзні зміни</t>
        </is>
      </c>
      <c r="AD103" s="5" t="n">
        <v>60</v>
      </c>
      <c r="AE103" s="5" t="n">
        <v>92</v>
      </c>
      <c r="AF103" s="5" t="n">
        <v>14.3</v>
      </c>
      <c r="AG103" s="5" t="n">
        <v>28.8</v>
      </c>
      <c r="AH103" s="5" t="n">
        <v>10</v>
      </c>
      <c r="AI103" s="5" t="n">
        <v>27</v>
      </c>
      <c r="AJ103" s="5" t="n">
        <v>74</v>
      </c>
      <c r="AK103" s="5" t="n">
        <v>67</v>
      </c>
      <c r="AL103" s="5" t="n">
        <v>11</v>
      </c>
      <c r="AM103" s="5" t="n">
        <v>4</v>
      </c>
      <c r="AN103" s="5" t="n">
        <v>16</v>
      </c>
      <c r="AO103" s="5" t="n">
        <v>5</v>
      </c>
      <c r="AP103" s="5" t="n">
        <v>18</v>
      </c>
      <c r="AQ103" s="5" t="n">
        <v>12</v>
      </c>
      <c r="AY103" s="5" t="n">
        <v>17</v>
      </c>
      <c r="AZ103" s="5" t="n">
        <v>29.3</v>
      </c>
      <c r="BA103" s="5" t="n">
        <v>16.3</v>
      </c>
      <c r="BB103" s="5" t="n">
        <v>21.1</v>
      </c>
      <c r="BC103" s="5" t="n">
        <v>3.17</v>
      </c>
      <c r="BD103" s="5" t="n">
        <v>0.99</v>
      </c>
      <c r="BE103" s="5" t="n">
        <v>1.52</v>
      </c>
      <c r="BF103" s="5" t="n">
        <v>1.92</v>
      </c>
      <c r="BG103" s="5" t="n">
        <v>60</v>
      </c>
      <c r="BH103" s="5" t="n">
        <v>65</v>
      </c>
      <c r="BI103" s="5" t="n">
        <v>8.199999999999999</v>
      </c>
      <c r="BJ103" s="5" t="n">
        <v>12.7</v>
      </c>
      <c r="BK103" s="5" t="n">
        <v>110</v>
      </c>
      <c r="BL103" s="5" t="n">
        <v>154</v>
      </c>
      <c r="BM103" s="5" t="n">
        <v>11.9</v>
      </c>
      <c r="BN103" s="5" t="n">
        <v>15.3</v>
      </c>
      <c r="BO103" s="5" t="n">
        <v>3.4</v>
      </c>
      <c r="BP103" s="5" t="n">
        <v>5.1</v>
      </c>
      <c r="BQ103" s="5" t="n">
        <v>8.5</v>
      </c>
      <c r="BR103" s="5" t="n">
        <v>10.2</v>
      </c>
      <c r="BS103" s="5" t="n">
        <v>36.2</v>
      </c>
      <c r="BT103" s="5" t="n">
        <v>54.3</v>
      </c>
      <c r="BU103" s="5" t="n">
        <v>24.1</v>
      </c>
      <c r="BV103" s="5" t="n">
        <v>60.4</v>
      </c>
      <c r="BW103" s="5" t="n">
        <v>9</v>
      </c>
      <c r="BX103" s="5" t="n">
        <v>18</v>
      </c>
    </row>
    <row r="104" customFormat="1" s="5">
      <c r="A104" s="5" t="n">
        <v>1</v>
      </c>
      <c r="B104" s="5" t="n">
        <v>1613</v>
      </c>
      <c r="C104" s="5" t="inlineStr">
        <is>
          <t>Гринчук Віктор Іванович</t>
        </is>
      </c>
      <c r="D104" s="5" t="n">
        <v>71</v>
      </c>
      <c r="E104" s="5" t="inlineStr">
        <is>
          <t>ч</t>
        </is>
      </c>
      <c r="F104" s="5" t="inlineStr">
        <is>
          <t>племінниця Софія 0952056832</t>
        </is>
      </c>
      <c r="G104" s="5" t="inlineStr">
        <is>
          <t>Негосп дв полісегм пнев 4 кл група</t>
        </is>
      </c>
      <c r="H104" s="5" t="inlineStr">
        <is>
          <t>важкий</t>
        </is>
      </c>
      <c r="I104" s="5" t="inlineStr">
        <is>
          <t>ІІ-ІІІ</t>
        </is>
      </c>
      <c r="J104" s="5" t="inlineStr">
        <is>
          <t>Гострий респіраторний дистрес синдром. Гостра серц-леген недос .Гостра емфізема легень.Токсико-інфекційний шок</t>
        </is>
      </c>
      <c r="K104" s="5" t="inlineStr">
        <is>
          <t>ІХС.ДК .Атеросклероз аорти. Первинно зморщені нирки</t>
        </is>
      </c>
      <c r="O104" s="5" t="n">
        <v>91</v>
      </c>
      <c r="P104" s="5" t="n">
        <v>95</v>
      </c>
      <c r="R104" s="5" t="n">
        <v>14</v>
      </c>
      <c r="S104" s="6" t="n">
        <v>44701</v>
      </c>
      <c r="T104" s="6" t="n">
        <v>44714</v>
      </c>
      <c r="U104" s="5" t="n">
        <v>13</v>
      </c>
      <c r="V104" s="6" t="n">
        <v>44715</v>
      </c>
      <c r="X104" s="5" t="inlineStr">
        <is>
          <t>5 днів вдома</t>
        </is>
      </c>
      <c r="Y104" s="5" t="inlineStr">
        <is>
          <t>3 дні в стац</t>
        </is>
      </c>
      <c r="Z104" s="5" t="inlineStr">
        <is>
          <t>130/80</t>
        </is>
      </c>
      <c r="AA104" s="5" t="inlineStr">
        <is>
          <t>130/80</t>
        </is>
      </c>
      <c r="AB104" s="5" t="n">
        <v>12</v>
      </c>
      <c r="AC104" s="5" t="inlineStr">
        <is>
          <t>помірні інтерстиційні зміни , виражені в передніх зонах</t>
        </is>
      </c>
      <c r="AD104" s="5" t="n">
        <v>100</v>
      </c>
      <c r="AE104" s="5" t="n">
        <v>100</v>
      </c>
      <c r="AF104" s="5" t="n">
        <v>0.7</v>
      </c>
      <c r="AG104" s="5" t="n">
        <v>10.2</v>
      </c>
      <c r="AH104" s="5" t="n">
        <v>0</v>
      </c>
      <c r="AI104" s="5" t="n">
        <v>6</v>
      </c>
      <c r="AJ104" s="5" t="n">
        <v>35</v>
      </c>
      <c r="AK104" s="5" t="n">
        <v>81</v>
      </c>
      <c r="AL104" s="5" t="n">
        <v>57</v>
      </c>
      <c r="AM104" s="5" t="n">
        <v>4</v>
      </c>
      <c r="AN104" s="5" t="n">
        <v>42</v>
      </c>
      <c r="AO104" s="5" t="n">
        <v>51</v>
      </c>
      <c r="AP104" s="5" t="n">
        <v>12</v>
      </c>
      <c r="AQ104" s="5" t="n">
        <v>8</v>
      </c>
      <c r="AU104" s="5" t="n">
        <v>5556</v>
      </c>
      <c r="AV104" s="5" t="n">
        <v>2572</v>
      </c>
      <c r="AX104" s="5" t="inlineStr">
        <is>
          <t>0.10</t>
        </is>
      </c>
      <c r="AY104" s="5" t="n">
        <v>32</v>
      </c>
      <c r="AZ104" s="5" t="n">
        <v>30</v>
      </c>
      <c r="BA104" s="5" t="n">
        <v>11.8</v>
      </c>
      <c r="BB104" s="5" t="n">
        <v>11.9</v>
      </c>
      <c r="BC104" s="5" t="n">
        <v>4.57</v>
      </c>
      <c r="BD104" s="5" t="n">
        <v>4.73</v>
      </c>
      <c r="BE104" s="5" t="n">
        <v>1.14</v>
      </c>
      <c r="BF104" s="5" t="n">
        <v>1.16</v>
      </c>
      <c r="BG104" s="5" t="n">
        <v>62</v>
      </c>
      <c r="BH104" s="5" t="n">
        <v>50</v>
      </c>
      <c r="BI104" s="5" t="n">
        <v>12</v>
      </c>
      <c r="BJ104" s="5" t="n">
        <v>37</v>
      </c>
      <c r="BK104" s="5" t="n">
        <v>147</v>
      </c>
      <c r="BL104" s="5" t="n">
        <v>300</v>
      </c>
      <c r="BM104" s="5" t="n">
        <v>20.4</v>
      </c>
      <c r="BN104" s="5" t="n">
        <v>11.9</v>
      </c>
      <c r="BO104" s="5" t="n">
        <v>6.8</v>
      </c>
      <c r="BP104" s="5" t="n">
        <v>3.4</v>
      </c>
      <c r="BQ104" s="5" t="n">
        <v>11.9</v>
      </c>
      <c r="BR104" s="5" t="n">
        <v>8.5</v>
      </c>
      <c r="BS104" s="5" t="n">
        <v>37.4</v>
      </c>
      <c r="BT104" s="5" t="n">
        <v>30.2</v>
      </c>
      <c r="BU104" s="5" t="n">
        <v>36.2</v>
      </c>
      <c r="BV104" s="5" t="n">
        <v>37.4</v>
      </c>
      <c r="BW104" s="5" t="n">
        <v>5</v>
      </c>
      <c r="BX104" s="5" t="n">
        <v>4.5</v>
      </c>
    </row>
    <row r="105" customFormat="1" s="5">
      <c r="A105" s="5" t="n">
        <v>1</v>
      </c>
      <c r="B105" s="5" t="n">
        <v>1784</v>
      </c>
      <c r="C105" s="5" t="inlineStr">
        <is>
          <t>Лесюк Степан Дмитрович</t>
        </is>
      </c>
      <c r="D105" s="5" t="n">
        <v>70</v>
      </c>
      <c r="E105" s="5" t="inlineStr">
        <is>
          <t>ч</t>
        </is>
      </c>
      <c r="F105" s="5" t="inlineStr">
        <is>
          <t>син Ярослав 0960788203</t>
        </is>
      </c>
      <c r="G105" s="5" t="inlineStr">
        <is>
          <t>Негосп дв полісегм пнев 4 кл група</t>
        </is>
      </c>
      <c r="H105" s="5" t="inlineStr">
        <is>
          <t>важкий</t>
        </is>
      </c>
      <c r="I105" s="5" t="inlineStr">
        <is>
          <t>ІІ-ІІІ</t>
        </is>
      </c>
      <c r="J105" s="5" t="inlineStr">
        <is>
          <t>Гострий респіраторний дистрес синдром. Гостра серц-леген недос .Гостра емфізема легень.Токсико-інфекційний шок</t>
        </is>
      </c>
      <c r="K105" s="5" t="inlineStr">
        <is>
          <t>ІХС.ДК .Атеросклероз аорти. Первинно зморщені нирки</t>
        </is>
      </c>
      <c r="O105" s="5" t="n">
        <v>82</v>
      </c>
      <c r="P105" s="5" t="n">
        <v>94</v>
      </c>
      <c r="R105" s="5" t="n">
        <v>5</v>
      </c>
      <c r="S105" s="6" t="n">
        <v>44699</v>
      </c>
      <c r="T105" s="6" t="n">
        <v>44718</v>
      </c>
      <c r="U105" s="5" t="n">
        <v>19</v>
      </c>
      <c r="V105" s="6" t="n">
        <v>44719</v>
      </c>
      <c r="W105" s="5" t="inlineStr">
        <is>
          <t>4днівдома</t>
        </is>
      </c>
      <c r="X105" s="5" t="inlineStr">
        <is>
          <t>3 дні в стац</t>
        </is>
      </c>
      <c r="Z105" s="5" t="inlineStr">
        <is>
          <t>150/100</t>
        </is>
      </c>
      <c r="AA105" s="5" t="inlineStr">
        <is>
          <t>140/80</t>
        </is>
      </c>
      <c r="AB105" s="5" t="n">
        <v>19</v>
      </c>
      <c r="AC105" s="5" t="inlineStr">
        <is>
          <t>виражені інтерстиційні зміни , дифузний тип</t>
        </is>
      </c>
      <c r="AD105" s="5" t="n">
        <v>148</v>
      </c>
      <c r="AE105" s="5" t="n">
        <v>118</v>
      </c>
      <c r="AF105" s="5" t="n">
        <v>5.5</v>
      </c>
      <c r="AG105" s="5" t="n">
        <v>15.8</v>
      </c>
      <c r="AH105" s="5" t="n">
        <v>22</v>
      </c>
      <c r="AI105" s="5" t="n">
        <v>11</v>
      </c>
      <c r="AJ105" s="5" t="n">
        <v>63</v>
      </c>
      <c r="AK105" s="5" t="n">
        <v>85</v>
      </c>
      <c r="AL105" s="5" t="n">
        <v>12</v>
      </c>
      <c r="AM105" s="5" t="n">
        <v>2</v>
      </c>
      <c r="AN105" s="5" t="n">
        <v>24</v>
      </c>
      <c r="AO105" s="5" t="n">
        <v>20</v>
      </c>
      <c r="AP105" s="5" t="n">
        <v>6</v>
      </c>
      <c r="AQ105" s="5" t="n">
        <v>6</v>
      </c>
      <c r="AU105" s="5" t="n">
        <v>3782</v>
      </c>
      <c r="AV105" s="5" t="n">
        <v>1014</v>
      </c>
      <c r="AX105" s="5" t="inlineStr">
        <is>
          <t>0.10</t>
        </is>
      </c>
      <c r="AY105" s="5" t="n">
        <v>44</v>
      </c>
      <c r="AZ105" s="5" t="n">
        <v>51</v>
      </c>
      <c r="BA105" s="5" t="n">
        <v>13.5</v>
      </c>
      <c r="BB105" s="5" t="n">
        <v>11.7</v>
      </c>
      <c r="BC105" s="5" t="n">
        <v>6</v>
      </c>
      <c r="BD105" s="5" t="n">
        <v>4.08</v>
      </c>
      <c r="BE105" s="5" t="n">
        <v>1.3</v>
      </c>
      <c r="BF105" s="5" t="n">
        <v>1.14</v>
      </c>
      <c r="BG105" s="5" t="n">
        <v>81</v>
      </c>
      <c r="BH105" s="5" t="n">
        <v>61</v>
      </c>
      <c r="BI105" s="5" t="n">
        <v>8.6</v>
      </c>
      <c r="BJ105" s="5" t="n">
        <v>8</v>
      </c>
      <c r="BK105" s="5" t="n">
        <v>115</v>
      </c>
      <c r="BL105" s="5" t="n">
        <v>106</v>
      </c>
      <c r="BM105" s="5" t="n">
        <v>13.6</v>
      </c>
      <c r="BN105" s="5" t="n">
        <v>18.7</v>
      </c>
      <c r="BO105" s="5" t="n">
        <v>5.1</v>
      </c>
      <c r="BP105" s="5" t="n">
        <v>6.8</v>
      </c>
      <c r="BQ105" s="5" t="n">
        <v>8.5</v>
      </c>
      <c r="BR105" s="5" t="n">
        <v>11.9</v>
      </c>
      <c r="BS105" s="5" t="n">
        <v>75.40000000000001</v>
      </c>
      <c r="BT105" s="5" t="n">
        <v>37.4</v>
      </c>
      <c r="BU105" s="5" t="n">
        <v>42.2</v>
      </c>
      <c r="BV105" s="5" t="n">
        <v>42.2</v>
      </c>
      <c r="BW105" s="5" t="n">
        <v>3.8</v>
      </c>
      <c r="BX105" s="5" t="n">
        <v>5.5</v>
      </c>
    </row>
    <row r="106" customFormat="1" s="5">
      <c r="A106" s="5" t="n">
        <v>1</v>
      </c>
      <c r="B106" s="5" t="n">
        <v>3238</v>
      </c>
      <c r="C106" s="5" t="inlineStr">
        <is>
          <t>Гамалій Дмитро Андрійович</t>
        </is>
      </c>
      <c r="D106" s="5" t="n">
        <v>79</v>
      </c>
      <c r="E106" s="5" t="inlineStr">
        <is>
          <t>ч</t>
        </is>
      </c>
      <c r="F106" s="5" t="inlineStr">
        <is>
          <t>внук Євген 0951100989</t>
        </is>
      </c>
      <c r="G106" s="5" t="inlineStr">
        <is>
          <t>Негосп дв полісегм пнев 4 кл група</t>
        </is>
      </c>
      <c r="H106" s="5" t="inlineStr">
        <is>
          <t>важкий</t>
        </is>
      </c>
      <c r="I106" s="5" t="inlineStr">
        <is>
          <t>ІІ-ІІІ</t>
        </is>
      </c>
      <c r="J106" s="5" t="inlineStr">
        <is>
          <t>Прогресуюча серц-леген недос .Набряк легень .Вогнищева емфізема легень .Сладж синдром</t>
        </is>
      </c>
      <c r="K106" s="5" t="inlineStr">
        <is>
          <t>ІХС ДК ГХст2.Емфізема легень</t>
        </is>
      </c>
      <c r="O106" s="5" t="n">
        <v>84</v>
      </c>
      <c r="P106" s="5" t="n">
        <v>96</v>
      </c>
      <c r="R106" s="5" t="n">
        <v>6</v>
      </c>
      <c r="S106" s="6" t="n">
        <v>44676</v>
      </c>
      <c r="T106" s="6" t="n">
        <v>44701</v>
      </c>
      <c r="U106" s="5" t="n">
        <v>25</v>
      </c>
      <c r="V106" s="6" t="n">
        <v>44702</v>
      </c>
      <c r="Y106" s="5" t="inlineStr">
        <is>
          <t>4 дні вдома</t>
        </is>
      </c>
      <c r="Z106" s="5" t="inlineStr">
        <is>
          <t>140/90</t>
        </is>
      </c>
      <c r="AA106" s="5" t="inlineStr">
        <is>
          <t>130/80</t>
        </is>
      </c>
      <c r="AB106" s="5" t="n">
        <v>25</v>
      </c>
      <c r="AC106" s="5" t="inlineStr">
        <is>
          <t>виражені інтерстиційні зміни , дифузний тип</t>
        </is>
      </c>
      <c r="AD106" s="5" t="n">
        <v>155</v>
      </c>
      <c r="AE106" s="5" t="n">
        <v>148</v>
      </c>
      <c r="AF106" s="5" t="n">
        <v>4.8</v>
      </c>
      <c r="AG106" s="5" t="n">
        <v>9.5</v>
      </c>
      <c r="AH106" s="5" t="n">
        <v>26</v>
      </c>
      <c r="AI106" s="5" t="n">
        <v>13</v>
      </c>
      <c r="AJ106" s="5" t="n">
        <v>56</v>
      </c>
      <c r="AK106" s="5" t="n">
        <v>81</v>
      </c>
      <c r="AL106" s="5" t="n">
        <v>10</v>
      </c>
      <c r="AM106" s="5" t="n">
        <v>3</v>
      </c>
      <c r="AN106" s="5" t="n">
        <v>31</v>
      </c>
      <c r="AO106" s="5" t="n">
        <v>20</v>
      </c>
      <c r="AP106" s="5" t="n">
        <v>12</v>
      </c>
      <c r="AQ106" s="5" t="n">
        <v>8</v>
      </c>
      <c r="AU106" s="5" t="n">
        <v>1099</v>
      </c>
      <c r="AV106" s="5" t="n">
        <v>1332</v>
      </c>
      <c r="AX106" s="5" t="inlineStr">
        <is>
          <t>0.10</t>
        </is>
      </c>
      <c r="AY106" s="5" t="n">
        <v>53</v>
      </c>
      <c r="AZ106" s="5" t="n">
        <v>45</v>
      </c>
      <c r="BA106" s="5" t="n">
        <v>9.6</v>
      </c>
      <c r="BB106" s="5" t="n">
        <v>12.5</v>
      </c>
      <c r="BC106" s="5" t="n">
        <v>5</v>
      </c>
      <c r="BD106" s="5" t="n">
        <v>4</v>
      </c>
      <c r="BE106" s="5" t="n">
        <v>0.95</v>
      </c>
      <c r="BF106" s="5" t="n">
        <v>1.21</v>
      </c>
      <c r="BG106" s="5" t="n">
        <v>66</v>
      </c>
      <c r="BH106" s="5" t="n">
        <v>78</v>
      </c>
      <c r="BI106" s="5" t="n">
        <v>16.2</v>
      </c>
      <c r="BJ106" s="5" t="n">
        <v>8.699999999999999</v>
      </c>
      <c r="BK106" s="5" t="n">
        <v>180</v>
      </c>
      <c r="BL106" s="5" t="n">
        <v>131</v>
      </c>
      <c r="BM106" s="5" t="n">
        <v>17</v>
      </c>
      <c r="BN106" s="5" t="n">
        <v>13.6</v>
      </c>
      <c r="BO106" s="5" t="n">
        <v>5.1</v>
      </c>
      <c r="BP106" s="5" t="n">
        <v>3.4</v>
      </c>
      <c r="BQ106" s="5" t="n">
        <v>11.9</v>
      </c>
      <c r="BR106" s="5" t="n">
        <v>10.2</v>
      </c>
      <c r="BS106" s="5" t="n">
        <v>52.4</v>
      </c>
      <c r="BT106" s="5" t="n">
        <v>42.2</v>
      </c>
      <c r="BU106" s="5" t="n">
        <v>66.40000000000001</v>
      </c>
      <c r="BV106" s="5" t="n">
        <v>24.1</v>
      </c>
      <c r="BW106" s="5" t="n">
        <v>7</v>
      </c>
      <c r="BX106" s="5" t="n">
        <v>7.1</v>
      </c>
    </row>
    <row r="107" customFormat="1" s="5">
      <c r="A107" s="5" t="n">
        <v>1</v>
      </c>
      <c r="B107" s="5" t="n">
        <v>2060</v>
      </c>
      <c r="C107" s="5" t="inlineStr">
        <is>
          <t>Дзюбаа Ганна Андріївна</t>
        </is>
      </c>
      <c r="D107" s="5" t="n">
        <v>70</v>
      </c>
      <c r="E107" s="5" t="inlineStr">
        <is>
          <t>ж</t>
        </is>
      </c>
      <c r="F107" s="5" t="inlineStr">
        <is>
          <t>син Дмитро 0996929844</t>
        </is>
      </c>
      <c r="G107" s="5" t="inlineStr">
        <is>
          <t>Негосп дв полісегм пнев 4 кл група</t>
        </is>
      </c>
      <c r="H107" s="5" t="inlineStr">
        <is>
          <t>важкий</t>
        </is>
      </c>
      <c r="I107" s="5" t="inlineStr">
        <is>
          <t>ІІ-ІІІ</t>
        </is>
      </c>
      <c r="J107" s="5" t="inlineStr">
        <is>
          <t>Прогресуюча серц-леген недос .Набряк легень .Гідроперекард 300мл. Двобічний гідроторакс 2л</t>
        </is>
      </c>
      <c r="K107" s="5" t="inlineStr">
        <is>
          <t>ІХС ДК ГХст2.Емфізема легень.Атеросклероз аорти. Первинно зморщені нирки</t>
        </is>
      </c>
      <c r="O107" s="5" t="n">
        <v>80</v>
      </c>
      <c r="P107" s="5" t="n">
        <v>94</v>
      </c>
      <c r="R107" s="5" t="n">
        <v>14</v>
      </c>
      <c r="S107" s="6" t="n">
        <v>44618</v>
      </c>
      <c r="T107" s="6" t="n">
        <v>44696</v>
      </c>
      <c r="U107" s="5" t="n">
        <v>79</v>
      </c>
      <c r="V107" s="6" t="n">
        <v>44698</v>
      </c>
      <c r="X107" s="5" t="inlineStr">
        <is>
          <t>5днів вдома</t>
        </is>
      </c>
      <c r="Z107" s="5" t="inlineStr">
        <is>
          <t>140/90</t>
        </is>
      </c>
      <c r="AA107" s="5" t="inlineStr">
        <is>
          <t>130/80</t>
        </is>
      </c>
      <c r="AB107" s="5" t="n">
        <v>79</v>
      </c>
      <c r="AC107" s="5" t="inlineStr">
        <is>
          <t>виражені інтерстиційні зміни , дифузний тип</t>
        </is>
      </c>
      <c r="AD107" s="5" t="n">
        <v>134</v>
      </c>
      <c r="AE107" s="5" t="n">
        <v>122</v>
      </c>
      <c r="AF107" s="5" t="n">
        <v>6.8</v>
      </c>
      <c r="AG107" s="5" t="n">
        <v>21.9</v>
      </c>
      <c r="AH107" s="5" t="n">
        <v>5</v>
      </c>
      <c r="AI107" s="5" t="n">
        <v>8</v>
      </c>
      <c r="AJ107" s="5" t="n">
        <v>75</v>
      </c>
      <c r="AK107" s="5" t="n">
        <v>78</v>
      </c>
      <c r="AL107" s="5" t="n">
        <v>14</v>
      </c>
      <c r="AM107" s="5" t="n">
        <v>9</v>
      </c>
      <c r="AN107" s="5" t="n">
        <v>37</v>
      </c>
      <c r="AO107" s="5" t="n">
        <v>46</v>
      </c>
      <c r="AP107" s="5" t="n">
        <v>18</v>
      </c>
      <c r="AQ107" s="5" t="n">
        <v>12</v>
      </c>
      <c r="AU107" s="5" t="n">
        <v>1000</v>
      </c>
      <c r="AV107" s="5" t="n">
        <v>800</v>
      </c>
      <c r="AX107" s="5" t="inlineStr">
        <is>
          <t>0.10</t>
        </is>
      </c>
      <c r="AY107" s="5" t="n">
        <v>32</v>
      </c>
      <c r="AZ107" s="5" t="n">
        <v>36</v>
      </c>
      <c r="BA107" s="5" t="n">
        <v>14.1</v>
      </c>
      <c r="BB107" s="5" t="n">
        <v>12.3</v>
      </c>
      <c r="BC107" s="5" t="n">
        <v>6</v>
      </c>
      <c r="BD107" s="5" t="n">
        <v>5</v>
      </c>
      <c r="BE107" s="5" t="n">
        <v>1.35</v>
      </c>
      <c r="BF107" s="5" t="n">
        <v>1.19</v>
      </c>
      <c r="BG107" s="5" t="n">
        <v>53</v>
      </c>
      <c r="BH107" s="5" t="n">
        <v>60</v>
      </c>
      <c r="BI107" s="5" t="n">
        <v>6</v>
      </c>
      <c r="BJ107" s="5" t="n">
        <v>7.3</v>
      </c>
      <c r="BK107" s="5" t="n">
        <v>95</v>
      </c>
      <c r="BL107" s="5" t="n">
        <v>104</v>
      </c>
      <c r="BM107" s="5" t="n">
        <v>53</v>
      </c>
      <c r="BN107" s="5" t="n">
        <v>60.5</v>
      </c>
      <c r="BO107" s="5" t="n">
        <v>5</v>
      </c>
      <c r="BP107" s="5" t="n">
        <v>5.1</v>
      </c>
      <c r="BQ107" s="5" t="n">
        <v>10.2</v>
      </c>
      <c r="BR107" s="5" t="n">
        <v>8.5</v>
      </c>
      <c r="BS107" s="5" t="n">
        <v>75.40000000000001</v>
      </c>
      <c r="BT107" s="5" t="n">
        <v>40.2</v>
      </c>
      <c r="BU107" s="5" t="n">
        <v>54.3</v>
      </c>
      <c r="BV107" s="5" t="n">
        <v>24.1</v>
      </c>
      <c r="BW107" s="5" t="n">
        <v>7.7</v>
      </c>
      <c r="BX107" s="5" t="n">
        <v>4.4</v>
      </c>
    </row>
    <row r="108" customFormat="1" s="5">
      <c r="A108" s="5" t="n">
        <v>1</v>
      </c>
      <c r="B108" s="5" t="n">
        <v>1789</v>
      </c>
      <c r="C108" s="5" t="inlineStr">
        <is>
          <t>Вережака Дарина Петрівна</t>
        </is>
      </c>
      <c r="D108" s="5" t="n">
        <v>86</v>
      </c>
      <c r="E108" s="5" t="inlineStr">
        <is>
          <t>ж</t>
        </is>
      </c>
      <c r="F108" s="5" t="inlineStr">
        <is>
          <t>внучка Альона 0636643231</t>
        </is>
      </c>
      <c r="G108" s="5" t="inlineStr">
        <is>
          <t>Негосп дв полісегм пнев 4 кл група</t>
        </is>
      </c>
      <c r="H108" s="5" t="inlineStr">
        <is>
          <t>важкий</t>
        </is>
      </c>
      <c r="I108" s="5" t="inlineStr">
        <is>
          <t>ІІ-ІІІ</t>
        </is>
      </c>
      <c r="J108" s="5" t="inlineStr">
        <is>
          <t>Гострий респіраторний дистрес синдром. Гостра серц-леген недос .Гостра емфізема легень.Токсико-інфекційний шок</t>
        </is>
      </c>
      <c r="K108" s="5" t="inlineStr">
        <is>
          <t>ІХС.ДК .Атеросклероз аорти. Первинно зморщені нирки</t>
        </is>
      </c>
      <c r="O108" s="5" t="n">
        <v>87</v>
      </c>
      <c r="P108" s="5" t="n">
        <v>95</v>
      </c>
      <c r="R108" s="5" t="n">
        <v>3</v>
      </c>
      <c r="S108" s="6" t="n">
        <v>44658</v>
      </c>
      <c r="T108" s="6" t="n">
        <v>44660</v>
      </c>
      <c r="U108" s="5" t="n">
        <v>1</v>
      </c>
      <c r="V108" s="6" t="n">
        <v>44661</v>
      </c>
      <c r="Y108" s="5" t="inlineStr">
        <is>
          <t>3дні вдома</t>
        </is>
      </c>
      <c r="Z108" s="5" t="inlineStr">
        <is>
          <t>130/80</t>
        </is>
      </c>
      <c r="AA108" s="5" t="inlineStr">
        <is>
          <t>130/80</t>
        </is>
      </c>
      <c r="AB108" s="5" t="n">
        <v>1</v>
      </c>
      <c r="AC108" s="5" t="inlineStr">
        <is>
          <t>виражені інтерстиційні зміни , дифузний тип</t>
        </is>
      </c>
      <c r="AD108" s="5" t="n">
        <v>128</v>
      </c>
      <c r="AF108" s="5" t="n">
        <v>6.5</v>
      </c>
      <c r="AH108" s="5" t="n">
        <v>22</v>
      </c>
      <c r="AJ108" s="5" t="n">
        <v>66</v>
      </c>
      <c r="AL108" s="5" t="n">
        <v>10</v>
      </c>
      <c r="AN108" s="5" t="n">
        <v>37</v>
      </c>
      <c r="AP108" s="5" t="n">
        <v>12</v>
      </c>
      <c r="AU108" s="5" t="n">
        <v>1344</v>
      </c>
      <c r="AX108" s="5" t="inlineStr">
        <is>
          <t>0.10</t>
        </is>
      </c>
      <c r="AY108" s="5" t="n">
        <v>38</v>
      </c>
      <c r="BA108" s="5" t="n">
        <v>15.1</v>
      </c>
      <c r="BC108" s="5" t="n">
        <v>7</v>
      </c>
      <c r="BE108" s="5" t="n">
        <v>1.44</v>
      </c>
      <c r="BH108" s="5" t="inlineStr">
        <is>
          <t>даних</t>
        </is>
      </c>
      <c r="BJ108" s="5" t="inlineStr">
        <is>
          <t>немає</t>
        </is>
      </c>
    </row>
    <row r="109" customFormat="1" s="5">
      <c r="A109" s="5" t="n">
        <v>1</v>
      </c>
      <c r="B109" s="5" t="n">
        <v>2443</v>
      </c>
      <c r="C109" s="5" t="inlineStr">
        <is>
          <t>Хмара Сергій Миколайович</t>
        </is>
      </c>
      <c r="D109" s="5" t="n">
        <v>87</v>
      </c>
      <c r="E109" s="5" t="inlineStr">
        <is>
          <t>ч</t>
        </is>
      </c>
      <c r="F109" s="5" t="inlineStr">
        <is>
          <t>сестра Юлія 479672521</t>
        </is>
      </c>
      <c r="G109" s="5" t="inlineStr">
        <is>
          <t>Негосп дв полісегм пнев 4 кл група</t>
        </is>
      </c>
      <c r="H109" s="5" t="inlineStr">
        <is>
          <t>важкий</t>
        </is>
      </c>
      <c r="I109" s="5" t="inlineStr">
        <is>
          <t>ІІ-ІІІ</t>
        </is>
      </c>
      <c r="J109" s="5" t="inlineStr">
        <is>
          <t>Набряк головного мозку . Набряк легень. Ішемічний інсульт</t>
        </is>
      </c>
      <c r="K109" s="5" t="inlineStr">
        <is>
          <t>ІХС ДК ГХст2.</t>
        </is>
      </c>
      <c r="O109" s="5" t="n">
        <v>86</v>
      </c>
      <c r="P109" s="5" t="n">
        <v>95</v>
      </c>
      <c r="R109" s="5" t="n">
        <v>6</v>
      </c>
      <c r="S109" s="6" t="n">
        <v>44672</v>
      </c>
      <c r="T109" s="6" t="n">
        <v>44682</v>
      </c>
      <c r="U109" s="5" t="n">
        <v>10</v>
      </c>
      <c r="V109" s="6" t="n">
        <v>44684</v>
      </c>
      <c r="Y109" s="5" t="inlineStr">
        <is>
          <t>3дні вдома</t>
        </is>
      </c>
      <c r="Z109" s="5" t="inlineStr">
        <is>
          <t>160/100</t>
        </is>
      </c>
      <c r="AA109" s="5" t="inlineStr">
        <is>
          <t>140/90</t>
        </is>
      </c>
      <c r="AB109" s="5" t="n">
        <v>8</v>
      </c>
      <c r="AC109" s="5" t="inlineStr">
        <is>
          <t>виражені інтерстиційні зміни , дифузний тип</t>
        </is>
      </c>
      <c r="AD109" s="5" t="n">
        <v>145</v>
      </c>
      <c r="AE109" s="5" t="n">
        <v>172</v>
      </c>
      <c r="AF109" s="5" t="n">
        <v>3.8</v>
      </c>
      <c r="AG109" s="5" t="n">
        <v>17.5</v>
      </c>
      <c r="AH109" s="5" t="n">
        <v>11</v>
      </c>
      <c r="AI109" s="5" t="n">
        <v>21</v>
      </c>
      <c r="AJ109" s="5" t="n">
        <v>79</v>
      </c>
      <c r="AK109" s="5" t="n">
        <v>77</v>
      </c>
      <c r="AL109" s="5" t="n">
        <v>8</v>
      </c>
      <c r="AM109" s="5" t="n">
        <v>1</v>
      </c>
      <c r="AN109" s="5" t="n">
        <v>34</v>
      </c>
      <c r="AO109" s="5" t="n">
        <v>8</v>
      </c>
      <c r="AP109" s="5" t="n">
        <v>18</v>
      </c>
      <c r="AQ109" s="5" t="n">
        <v>12</v>
      </c>
      <c r="AU109" s="5" t="n">
        <v>4000</v>
      </c>
      <c r="AV109" s="5" t="n">
        <v>2546</v>
      </c>
      <c r="AX109" s="5" t="inlineStr">
        <is>
          <t>0.10</t>
        </is>
      </c>
      <c r="AY109" s="5" t="n">
        <v>42</v>
      </c>
      <c r="AZ109" s="5" t="n">
        <v>53</v>
      </c>
      <c r="BA109" s="5" t="n">
        <v>11</v>
      </c>
      <c r="BB109" s="5" t="n">
        <v>15.2</v>
      </c>
      <c r="BC109" s="5" t="n">
        <v>3.98</v>
      </c>
      <c r="BD109" s="5" t="n">
        <v>2.93</v>
      </c>
      <c r="BE109" s="5" t="n">
        <v>1.07</v>
      </c>
      <c r="BF109" s="5" t="n">
        <v>1.5</v>
      </c>
      <c r="BG109" s="5" t="n">
        <v>66</v>
      </c>
      <c r="BH109" s="5" t="n">
        <v>69</v>
      </c>
      <c r="BI109" s="5" t="n">
        <v>6.9</v>
      </c>
      <c r="BJ109" s="5" t="n">
        <v>12.6</v>
      </c>
      <c r="BK109" s="5" t="n">
        <v>96</v>
      </c>
      <c r="BL109" s="5" t="n">
        <v>147</v>
      </c>
      <c r="BM109" s="5" t="n">
        <v>18.7</v>
      </c>
      <c r="BO109" s="5" t="n">
        <v>6.9</v>
      </c>
      <c r="BQ109" s="5" t="n">
        <v>11.9</v>
      </c>
      <c r="BS109" s="5" t="n">
        <v>52.4</v>
      </c>
      <c r="BT109" s="5" t="n">
        <v>90.40000000000001</v>
      </c>
      <c r="BU109" s="5" t="n">
        <v>36.4</v>
      </c>
      <c r="BV109" s="5" t="n">
        <v>60.4</v>
      </c>
      <c r="BW109" s="5" t="n">
        <v>9.5</v>
      </c>
      <c r="BX109" s="5" t="n">
        <v>5.6</v>
      </c>
    </row>
    <row r="110" customFormat="1" s="5">
      <c r="A110" s="5" t="n">
        <v>1</v>
      </c>
      <c r="B110" s="5" t="inlineStr">
        <is>
          <t>2335/289</t>
        </is>
      </c>
      <c r="C110" s="5" t="inlineStr">
        <is>
          <t>Бондар Іван Володимирович</t>
        </is>
      </c>
      <c r="D110" s="5" t="n">
        <v>68</v>
      </c>
      <c r="E110" s="5" t="inlineStr">
        <is>
          <t>ч</t>
        </is>
      </c>
      <c r="F110" s="5" t="inlineStr">
        <is>
          <t>дочка Людмила 0672713831</t>
        </is>
      </c>
      <c r="G110" s="5" t="inlineStr">
        <is>
          <t>Негосп дв полісегм пнев 4 кл група</t>
        </is>
      </c>
      <c r="H110" s="5" t="inlineStr">
        <is>
          <t>важкий</t>
        </is>
      </c>
      <c r="I110" s="5" t="inlineStr">
        <is>
          <t>ІІ-ІІІ</t>
        </is>
      </c>
      <c r="J110" s="5" t="inlineStr">
        <is>
          <t>Гострий коронарний синдром. Гострий інфарк міокарда. ТЕЛА?</t>
        </is>
      </c>
      <c r="K110" s="5" t="inlineStr">
        <is>
          <t>Облітеруючий атеросклероз ниж кінц.оклюзія стегно-підколінного сегменту зліва,ішемія кінц. Хр бронхіт, пієлонефрит. Гепатит С</t>
        </is>
      </c>
      <c r="O110" s="5" t="n">
        <v>80</v>
      </c>
      <c r="P110" s="5" t="n">
        <v>97</v>
      </c>
      <c r="R110" s="5" t="n">
        <v>7</v>
      </c>
      <c r="S110" s="6" t="n">
        <v>44656</v>
      </c>
      <c r="T110" s="6" t="n">
        <v>44675</v>
      </c>
      <c r="U110" s="5" t="n">
        <v>19</v>
      </c>
      <c r="V110" s="6" t="n">
        <v>44676</v>
      </c>
      <c r="X110" s="5" t="inlineStr">
        <is>
          <t>3 дні в стац</t>
        </is>
      </c>
      <c r="Z110" s="5" t="inlineStr">
        <is>
          <t>120/80</t>
        </is>
      </c>
      <c r="AA110" s="5" t="inlineStr">
        <is>
          <t>130/80</t>
        </is>
      </c>
      <c r="AB110" s="5" t="n">
        <v>19</v>
      </c>
      <c r="AC110" s="5" t="inlineStr">
        <is>
          <t>значні фіброзні інтерстиційні зміни, дифузний тип, ексудативний плеврит зліва</t>
        </is>
      </c>
      <c r="AD110" s="5" t="n">
        <v>107</v>
      </c>
      <c r="AE110" s="5" t="n">
        <v>108</v>
      </c>
      <c r="AF110" s="5" t="n">
        <v>7.81</v>
      </c>
      <c r="AG110" s="5" t="n">
        <v>31.68</v>
      </c>
      <c r="AH110" s="5" t="n">
        <v>10</v>
      </c>
      <c r="AI110" s="5" t="n">
        <v>80.2</v>
      </c>
      <c r="AJ110" s="5" t="n">
        <v>74.8</v>
      </c>
      <c r="AK110" s="5" t="n">
        <v>20.7</v>
      </c>
      <c r="AL110" s="5" t="n">
        <v>13.3</v>
      </c>
      <c r="AM110" s="5" t="n">
        <v>7.5</v>
      </c>
      <c r="AN110" s="5" t="n">
        <v>34</v>
      </c>
      <c r="AO110" s="5" t="n">
        <v>20</v>
      </c>
      <c r="AP110" s="5" t="n">
        <v>24</v>
      </c>
      <c r="AQ110" s="5" t="n">
        <v>22</v>
      </c>
      <c r="AY110" s="5" t="n">
        <v>33</v>
      </c>
      <c r="AZ110" s="5" t="n">
        <v>36</v>
      </c>
      <c r="BA110" s="5" t="n">
        <v>12.3</v>
      </c>
      <c r="BB110" s="5" t="n">
        <v>11.2</v>
      </c>
      <c r="BC110" s="5" t="n">
        <v>3.55</v>
      </c>
      <c r="BD110" s="5" t="n">
        <v>3.33</v>
      </c>
      <c r="BE110" s="5" t="n">
        <v>0.9</v>
      </c>
      <c r="BF110" s="5" t="n">
        <v>1.1</v>
      </c>
      <c r="BG110" s="5" t="n">
        <v>65.40000000000001</v>
      </c>
      <c r="BH110" s="5" t="n">
        <v>63</v>
      </c>
      <c r="BI110" s="5" t="n">
        <v>8.630000000000001</v>
      </c>
      <c r="BJ110" s="5" t="n">
        <v>9.06</v>
      </c>
      <c r="BK110" s="5" t="n">
        <v>83.3</v>
      </c>
      <c r="BL110" s="5" t="n">
        <v>63.3</v>
      </c>
      <c r="BM110" s="5" t="n">
        <v>7.43</v>
      </c>
      <c r="BN110" s="5" t="n">
        <v>10</v>
      </c>
      <c r="BO110" s="5" t="n">
        <v>3.81</v>
      </c>
      <c r="BP110" s="5" t="n">
        <v>3.7</v>
      </c>
      <c r="BQ110" s="5" t="n">
        <v>3.6</v>
      </c>
      <c r="BR110" s="5" t="n">
        <v>4</v>
      </c>
      <c r="BS110" s="5" t="n">
        <v>14</v>
      </c>
      <c r="BT110" s="5" t="n">
        <v>69.7</v>
      </c>
      <c r="BU110" s="5" t="n">
        <v>34</v>
      </c>
      <c r="BV110" s="5" t="n">
        <v>44.2</v>
      </c>
      <c r="BW110" s="5" t="n">
        <v>7.29</v>
      </c>
      <c r="BX110" s="5" t="n">
        <v>6.01</v>
      </c>
    </row>
    <row r="111" customFormat="1" s="5">
      <c r="A111" s="5" t="n">
        <v>1</v>
      </c>
      <c r="B111" s="5" t="inlineStr">
        <is>
          <t>2071/203</t>
        </is>
      </c>
      <c r="C111" s="5" t="inlineStr">
        <is>
          <t>Перепелюк Степан Богданович</t>
        </is>
      </c>
      <c r="D111" s="5" t="n">
        <v>71</v>
      </c>
      <c r="E111" s="5" t="inlineStr">
        <is>
          <t>ч</t>
        </is>
      </c>
      <c r="F111" s="5" t="inlineStr">
        <is>
          <t>дочка Валентина 0507425657</t>
        </is>
      </c>
      <c r="G111" s="5" t="inlineStr">
        <is>
          <t>Негосп дв полісегм пнев 4 кл група</t>
        </is>
      </c>
      <c r="H111" s="5" t="inlineStr">
        <is>
          <t>важкий</t>
        </is>
      </c>
      <c r="I111" s="5" t="inlineStr">
        <is>
          <t>ІІ-ІІІ</t>
        </is>
      </c>
      <c r="J111" s="5" t="inlineStr">
        <is>
          <t>Гострий респіраторний дистрес синдром. Гостра серц-леген недос .Гостра емфізема легень.Токсико-інфекційний шок</t>
        </is>
      </c>
      <c r="K111" s="5" t="inlineStr">
        <is>
          <t xml:space="preserve">ІХС ДК СН ІІа Атеросклероз аорти та вінцевих судин. </t>
        </is>
      </c>
      <c r="O111" s="5" t="n">
        <v>74</v>
      </c>
      <c r="P111" s="5" t="n">
        <v>94</v>
      </c>
      <c r="R111" s="5" t="n">
        <v>7</v>
      </c>
      <c r="S111" s="6" t="n">
        <v>44664</v>
      </c>
      <c r="T111" s="6" t="n">
        <v>44681</v>
      </c>
      <c r="U111" s="5" t="n">
        <v>17</v>
      </c>
      <c r="V111" s="6" t="n">
        <v>44681</v>
      </c>
      <c r="W111" s="5" t="inlineStr">
        <is>
          <t>3 дні вдома</t>
        </is>
      </c>
      <c r="X111" s="5" t="inlineStr">
        <is>
          <t>10 днів в стац</t>
        </is>
      </c>
      <c r="Y111" s="5" t="inlineStr">
        <is>
          <t>7 днів в стац</t>
        </is>
      </c>
      <c r="Z111" s="5" t="inlineStr">
        <is>
          <t>140/80</t>
        </is>
      </c>
      <c r="AA111" s="5" t="inlineStr">
        <is>
          <t>150/100</t>
        </is>
      </c>
      <c r="AB111" s="5" t="n">
        <v>17</v>
      </c>
      <c r="AC111" s="5" t="inlineStr">
        <is>
          <t>інтерстиційні зміни більше виражені в базальних правих та передніх зонах</t>
        </is>
      </c>
      <c r="AD111" s="5" t="n">
        <v>133</v>
      </c>
      <c r="AE111" s="5" t="n">
        <v>108</v>
      </c>
      <c r="AF111" s="5" t="n">
        <v>20.2</v>
      </c>
      <c r="AG111" s="5" t="n">
        <v>8</v>
      </c>
      <c r="AH111" s="5" t="n">
        <v>6</v>
      </c>
      <c r="AI111" s="5" t="n">
        <v>50</v>
      </c>
      <c r="AJ111" s="5" t="n">
        <v>89</v>
      </c>
      <c r="AK111" s="5" t="n">
        <v>48</v>
      </c>
      <c r="AL111" s="5" t="n">
        <v>1</v>
      </c>
      <c r="AM111" s="5" t="n">
        <v>1</v>
      </c>
      <c r="AN111" s="5" t="n">
        <v>10</v>
      </c>
      <c r="AO111" s="5" t="n">
        <v>40</v>
      </c>
      <c r="AP111" s="5" t="n">
        <v>6</v>
      </c>
      <c r="AQ111" s="5" t="n">
        <v>9</v>
      </c>
      <c r="AU111" s="5" t="n">
        <v>1771</v>
      </c>
      <c r="AY111" s="5" t="n">
        <v>42</v>
      </c>
      <c r="AZ111" s="5" t="n">
        <v>33</v>
      </c>
      <c r="BA111" s="5" t="n">
        <v>12.6</v>
      </c>
      <c r="BB111" s="5" t="n">
        <v>17.6</v>
      </c>
      <c r="BC111" s="5" t="n">
        <v>3.32</v>
      </c>
      <c r="BD111" s="5" t="n">
        <v>5.07</v>
      </c>
      <c r="BE111" s="5" t="n">
        <v>1.21</v>
      </c>
      <c r="BF111" s="5" t="n">
        <v>1.66</v>
      </c>
      <c r="BG111" s="5" t="n">
        <v>64</v>
      </c>
      <c r="BH111" s="5" t="n">
        <v>50</v>
      </c>
      <c r="BI111" s="5" t="n">
        <v>8.4</v>
      </c>
      <c r="BJ111" s="5" t="n">
        <v>8.300000000000001</v>
      </c>
      <c r="BK111" s="5" t="n">
        <v>110</v>
      </c>
      <c r="BL111" s="5" t="n">
        <v>168</v>
      </c>
      <c r="BM111" s="5" t="n">
        <v>15.3</v>
      </c>
      <c r="BN111" s="5" t="n">
        <v>17</v>
      </c>
      <c r="BO111" s="5" t="n">
        <v>5.1</v>
      </c>
      <c r="BP111" s="5" t="n">
        <v>5.1</v>
      </c>
      <c r="BQ111" s="5" t="n">
        <v>10.2</v>
      </c>
      <c r="BR111" s="5" t="n">
        <v>11.5</v>
      </c>
      <c r="BS111" s="5" t="n">
        <v>67.5</v>
      </c>
      <c r="BT111" s="5" t="n">
        <v>52.4</v>
      </c>
      <c r="BU111" s="5" t="n">
        <v>30.2</v>
      </c>
      <c r="BV111" s="5" t="n">
        <v>36.2</v>
      </c>
      <c r="BW111" s="5" t="n">
        <v>6</v>
      </c>
      <c r="BX111" s="5" t="n">
        <v>9</v>
      </c>
    </row>
    <row r="112" customFormat="1" s="5">
      <c r="A112" s="5" t="n">
        <v>1</v>
      </c>
      <c r="B112" s="5" t="n">
        <v>2526</v>
      </c>
      <c r="C112" s="5" t="inlineStr">
        <is>
          <t>Хмараа Катерина Миколаївна</t>
        </is>
      </c>
      <c r="D112" s="5" t="n">
        <v>69</v>
      </c>
      <c r="E112" s="5" t="inlineStr">
        <is>
          <t>ж</t>
        </is>
      </c>
      <c r="F112" s="5" t="inlineStr">
        <is>
          <t>подруга Ольга 0996450114</t>
        </is>
      </c>
      <c r="G112" s="5" t="inlineStr">
        <is>
          <t>Негосп дв полісегм пнев 4 кл група</t>
        </is>
      </c>
      <c r="H112" s="5" t="inlineStr">
        <is>
          <t>важкий</t>
        </is>
      </c>
      <c r="I112" s="5" t="inlineStr">
        <is>
          <t>ІІ-ІІІ</t>
        </is>
      </c>
      <c r="J112" s="5" t="inlineStr">
        <is>
          <t>Прогресуюча легенева недос. Набряк легень. ДВЗ синд.</t>
        </is>
      </c>
      <c r="K112" s="5" t="inlineStr">
        <is>
          <t>ІХС ДК ГХст2</t>
        </is>
      </c>
      <c r="O112" s="5" t="n">
        <v>70</v>
      </c>
      <c r="P112" s="5" t="n">
        <v>96</v>
      </c>
      <c r="R112" s="5" t="n">
        <v>5</v>
      </c>
      <c r="S112" s="6" t="n">
        <v>44656</v>
      </c>
      <c r="T112" s="6" t="n">
        <v>44680</v>
      </c>
      <c r="U112" s="5" t="n">
        <v>24</v>
      </c>
      <c r="V112" s="6" t="n">
        <v>44681</v>
      </c>
      <c r="W112" s="5" t="inlineStr">
        <is>
          <t>3 дні вдома</t>
        </is>
      </c>
      <c r="Y112" s="5" t="inlineStr">
        <is>
          <t>3 дні в стац</t>
        </is>
      </c>
      <c r="Z112" s="5" t="inlineStr">
        <is>
          <t>130/80</t>
        </is>
      </c>
      <c r="AA112" s="5" t="inlineStr">
        <is>
          <t>130/80</t>
        </is>
      </c>
      <c r="AB112" s="5" t="n">
        <v>24</v>
      </c>
      <c r="AC112" s="5" t="inlineStr">
        <is>
          <t>значні інтерстиц зміни в передніх зонах,помірні в зад-латеральних</t>
        </is>
      </c>
      <c r="AD112" s="5" t="n">
        <v>133</v>
      </c>
      <c r="AE112" s="5" t="n">
        <v>136</v>
      </c>
      <c r="AF112" s="5" t="n">
        <v>6.1</v>
      </c>
      <c r="AG112" s="5" t="n">
        <v>22</v>
      </c>
      <c r="AH112" s="5" t="n">
        <v>28</v>
      </c>
      <c r="AI112" s="5" t="n">
        <v>27</v>
      </c>
      <c r="AJ112" s="5" t="n">
        <v>28</v>
      </c>
      <c r="AK112" s="5" t="n">
        <v>60</v>
      </c>
      <c r="AL112" s="5" t="n">
        <v>23</v>
      </c>
      <c r="AM112" s="5" t="n">
        <v>3</v>
      </c>
      <c r="AN112" s="5" t="n">
        <v>34</v>
      </c>
      <c r="AO112" s="5" t="n">
        <v>34</v>
      </c>
      <c r="AP112" s="5" t="n">
        <v>18</v>
      </c>
      <c r="AQ112" s="5" t="n">
        <v>6</v>
      </c>
      <c r="AR112" s="5" t="n">
        <v>5.34</v>
      </c>
      <c r="AU112" s="5" t="n">
        <v>1258</v>
      </c>
      <c r="AV112" s="5" t="n">
        <v>377.76</v>
      </c>
      <c r="AX112" s="5" t="inlineStr">
        <is>
          <t xml:space="preserve">0.10 </t>
        </is>
      </c>
      <c r="AY112" s="5" t="n">
        <v>40</v>
      </c>
      <c r="AZ112" s="5" t="n">
        <v>41</v>
      </c>
      <c r="BA112" s="5" t="n">
        <v>14.4</v>
      </c>
      <c r="BB112" s="5" t="n">
        <v>15.3</v>
      </c>
      <c r="BC112" s="5" t="n">
        <v>4.85</v>
      </c>
      <c r="BD112" s="5" t="n">
        <v>2.43</v>
      </c>
      <c r="BE112" s="5" t="n">
        <v>1.36</v>
      </c>
      <c r="BF112" s="5" t="n">
        <v>1.44</v>
      </c>
      <c r="BG112" s="5" t="n">
        <v>84</v>
      </c>
      <c r="BH112" s="5" t="n">
        <v>69</v>
      </c>
      <c r="BI112" s="5" t="n">
        <v>7.7</v>
      </c>
      <c r="BJ112" s="5" t="n">
        <v>4.8</v>
      </c>
      <c r="BK112" s="5" t="n">
        <v>109</v>
      </c>
      <c r="BL112" s="5" t="n">
        <v>74</v>
      </c>
      <c r="BM112" s="5" t="n">
        <v>84</v>
      </c>
      <c r="BN112" s="5" t="n">
        <v>15.3</v>
      </c>
      <c r="BP112" s="5" t="n">
        <v>5.3</v>
      </c>
      <c r="BR112" s="5" t="n">
        <v>10.2</v>
      </c>
      <c r="BS112" s="5" t="n">
        <v>67.5</v>
      </c>
      <c r="BT112" s="5" t="n">
        <v>52.4</v>
      </c>
      <c r="BU112" s="5" t="n">
        <v>48.2</v>
      </c>
      <c r="BV112" s="5" t="n">
        <v>36.4</v>
      </c>
      <c r="BW112" s="5" t="n">
        <v>8.1</v>
      </c>
      <c r="BX112" s="5" t="n">
        <v>12.5</v>
      </c>
    </row>
    <row r="113" customFormat="1" s="5">
      <c r="A113" s="5" t="n">
        <v>1</v>
      </c>
      <c r="B113" s="5" t="n">
        <v>476</v>
      </c>
      <c r="C113" s="5" t="inlineStr">
        <is>
          <t>Дзюбаа Дарина Сергіївна</t>
        </is>
      </c>
      <c r="D113" s="5" t="n">
        <v>74</v>
      </c>
      <c r="E113" s="5" t="inlineStr">
        <is>
          <t>ж</t>
        </is>
      </c>
      <c r="F113" s="5" t="inlineStr">
        <is>
          <t>дочка Ганна 0954851481</t>
        </is>
      </c>
      <c r="G113" s="5" t="inlineStr">
        <is>
          <t>Негосп дв полісегм пнев 4 кл група</t>
        </is>
      </c>
      <c r="H113" s="5" t="inlineStr">
        <is>
          <t>важкий</t>
        </is>
      </c>
      <c r="I113" s="5" t="inlineStr">
        <is>
          <t>ІІ-ІІІ</t>
        </is>
      </c>
      <c r="J113" s="5" t="inlineStr">
        <is>
          <t>Прогресуюча серц-леген недос. Токсико-бактер шок. Набряк легень. ДВЗ-синд</t>
        </is>
      </c>
      <c r="K113" s="5" t="inlineStr">
        <is>
          <t xml:space="preserve">ІХС ДК ГЛШ ст2 СН ІІА </t>
        </is>
      </c>
      <c r="O113" s="5" t="n">
        <v>87</v>
      </c>
      <c r="P113" s="5" t="n">
        <v>92</v>
      </c>
      <c r="R113" s="5" t="n">
        <v>7</v>
      </c>
      <c r="S113" s="6" t="n">
        <v>44653</v>
      </c>
      <c r="T113" s="6" t="n">
        <v>44684</v>
      </c>
      <c r="U113" s="5" t="n">
        <v>31</v>
      </c>
      <c r="V113" s="6" t="n">
        <v>44684</v>
      </c>
      <c r="Z113" s="5" t="inlineStr">
        <is>
          <t>130/80</t>
        </is>
      </c>
      <c r="AA113" s="5" t="inlineStr">
        <is>
          <t>130/80</t>
        </is>
      </c>
      <c r="AB113" s="5" t="n">
        <v>31</v>
      </c>
      <c r="AD113" s="5" t="n">
        <v>131</v>
      </c>
      <c r="AE113" s="5" t="n">
        <v>144</v>
      </c>
      <c r="AF113" s="5" t="n">
        <v>7.9</v>
      </c>
      <c r="AG113" s="5" t="n">
        <v>12.5</v>
      </c>
      <c r="AH113" s="5" t="n">
        <v>24</v>
      </c>
      <c r="AI113" s="5" t="n">
        <v>8</v>
      </c>
      <c r="AJ113" s="5" t="n">
        <v>67</v>
      </c>
      <c r="AK113" s="5" t="n">
        <v>90</v>
      </c>
      <c r="AL113" s="5" t="n">
        <v>6</v>
      </c>
      <c r="AM113" s="5" t="n">
        <v>1</v>
      </c>
      <c r="AN113" s="5" t="n">
        <v>45</v>
      </c>
      <c r="AO113" s="5" t="n">
        <v>47</v>
      </c>
      <c r="AQ113" s="5" t="n">
        <v>9</v>
      </c>
      <c r="AX113" s="5" t="inlineStr">
        <is>
          <t>0.10</t>
        </is>
      </c>
      <c r="BG113" s="5" t="n">
        <v>79</v>
      </c>
      <c r="BH113" s="5" t="n">
        <v>60</v>
      </c>
      <c r="BI113" s="5" t="n">
        <v>6.4</v>
      </c>
      <c r="BJ113" s="5" t="n">
        <v>9</v>
      </c>
      <c r="BK113" s="5" t="n">
        <v>75</v>
      </c>
      <c r="BL113" s="5" t="n">
        <v>115</v>
      </c>
      <c r="BM113" s="5" t="n">
        <v>22.1</v>
      </c>
      <c r="BN113" s="5" t="n">
        <v>17</v>
      </c>
      <c r="BO113" s="5" t="n">
        <v>6.8</v>
      </c>
      <c r="BP113" s="5" t="n">
        <v>5.1</v>
      </c>
      <c r="BQ113" s="5" t="n">
        <v>15.3</v>
      </c>
      <c r="BR113" s="5" t="n">
        <v>11.9</v>
      </c>
      <c r="BS113" s="5" t="n">
        <v>60.3</v>
      </c>
      <c r="BT113" s="5" t="n">
        <v>60.3</v>
      </c>
      <c r="BU113" s="5" t="n">
        <v>36.2</v>
      </c>
      <c r="BV113" s="5" t="n">
        <v>36.2</v>
      </c>
      <c r="BW113" s="5" t="n">
        <v>8</v>
      </c>
      <c r="BX113" s="5" t="n">
        <v>8.4</v>
      </c>
      <c r="BY113" s="5" t="inlineStr">
        <is>
          <t>геморагічний інсульт в 2017</t>
        </is>
      </c>
    </row>
    <row r="114" customFormat="1" s="5">
      <c r="A114" s="5" t="n">
        <v>1</v>
      </c>
      <c r="B114" s="5" t="n">
        <v>308</v>
      </c>
      <c r="C114" s="5" t="inlineStr">
        <is>
          <t>Гамалійа Надія Богданівна</t>
        </is>
      </c>
      <c r="D114" s="5" t="n">
        <v>79</v>
      </c>
      <c r="E114" s="5" t="inlineStr">
        <is>
          <t>ж</t>
        </is>
      </c>
      <c r="F114" s="5" t="inlineStr">
        <is>
          <t>дочка Ганна 0958195961</t>
        </is>
      </c>
      <c r="G114" s="5" t="inlineStr">
        <is>
          <t>Негосп дв полісегм пнев 4 кл група</t>
        </is>
      </c>
      <c r="H114" s="5" t="inlineStr">
        <is>
          <t>важкий</t>
        </is>
      </c>
      <c r="I114" s="5" t="inlineStr">
        <is>
          <t>ІІ-ІІІ</t>
        </is>
      </c>
      <c r="J114" s="5" t="inlineStr">
        <is>
          <t>Прогресуюча серц-леген недос. Вогнищева емфізема легень. Набряк легень. Мускатна печінка</t>
        </is>
      </c>
      <c r="K114" s="5" t="inlineStr">
        <is>
          <t>ІХС ДК ГХ Іі СН Ііа Емфізема легень Хрон бронхіт</t>
        </is>
      </c>
      <c r="O114" s="5" t="n">
        <v>79</v>
      </c>
      <c r="P114" s="5" t="n">
        <v>94</v>
      </c>
      <c r="R114" s="5" t="n">
        <v>10</v>
      </c>
      <c r="S114" s="6" t="n">
        <v>44656</v>
      </c>
      <c r="T114" s="6" t="n">
        <v>44664</v>
      </c>
      <c r="U114" s="5" t="n">
        <v>8</v>
      </c>
      <c r="V114" s="6" t="n">
        <v>44664</v>
      </c>
      <c r="Z114" s="5" t="inlineStr">
        <is>
          <t>140/80</t>
        </is>
      </c>
      <c r="AA114" s="5" t="inlineStr">
        <is>
          <t>140/80</t>
        </is>
      </c>
      <c r="AB114" s="5" t="n">
        <v>8</v>
      </c>
      <c r="AC114" s="5" t="inlineStr">
        <is>
          <t>значні інтерстиц зміни в базально-латеральних синусах</t>
        </is>
      </c>
      <c r="AD114" s="5" t="n">
        <v>111</v>
      </c>
      <c r="AF114" s="5" t="n">
        <v>6.1</v>
      </c>
      <c r="AH114" s="5" t="n">
        <v>44</v>
      </c>
      <c r="AJ114" s="5" t="n">
        <v>41</v>
      </c>
      <c r="AL114" s="5" t="n">
        <v>13</v>
      </c>
      <c r="AN114" s="5" t="n">
        <v>60</v>
      </c>
      <c r="AU114" s="5" t="n">
        <v>3.47</v>
      </c>
      <c r="AY114" s="5" t="n">
        <v>37</v>
      </c>
      <c r="AZ114" s="5" t="n">
        <v>42</v>
      </c>
      <c r="BA114" s="5" t="n">
        <v>15.5</v>
      </c>
      <c r="BB114" s="5" t="n">
        <v>17.4</v>
      </c>
      <c r="BC114" s="5" t="n">
        <v>4.41</v>
      </c>
      <c r="BD114" s="5" t="n">
        <v>4.68</v>
      </c>
      <c r="BE114" s="5" t="n">
        <v>1.46</v>
      </c>
      <c r="BF114" s="5" t="n">
        <v>1.62</v>
      </c>
      <c r="BG114" s="5" t="n">
        <v>75</v>
      </c>
      <c r="BH114" s="5" t="n">
        <v>79</v>
      </c>
      <c r="BI114" s="5" t="n">
        <v>7</v>
      </c>
      <c r="BJ114" s="5" t="n">
        <v>13.2</v>
      </c>
      <c r="BK114" s="5" t="n">
        <v>99</v>
      </c>
      <c r="BL114" s="5" t="n">
        <v>192</v>
      </c>
      <c r="BN114" s="5" t="n">
        <v>22.1</v>
      </c>
      <c r="BP114" s="5" t="n">
        <v>6.8</v>
      </c>
      <c r="BR114" s="5" t="n">
        <v>15.3</v>
      </c>
      <c r="BS114" s="5" t="n">
        <v>90.40000000000001</v>
      </c>
      <c r="BT114" s="5" t="n">
        <v>97.7</v>
      </c>
      <c r="BU114" s="5" t="n">
        <v>66.40000000000001</v>
      </c>
      <c r="BV114" s="5" t="n">
        <v>72.40000000000001</v>
      </c>
      <c r="BW114" s="5" t="n">
        <v>8.800000000000001</v>
      </c>
      <c r="BX114" s="5" t="n">
        <v>8.699999999999999</v>
      </c>
    </row>
    <row r="115" customFormat="1" s="5">
      <c r="A115" s="5" t="n">
        <v>1</v>
      </c>
      <c r="B115" s="5" t="n">
        <v>2758</v>
      </c>
      <c r="C115" s="5" t="inlineStr">
        <is>
          <t>Батюка Валентина Петрівна</t>
        </is>
      </c>
      <c r="D115" s="5" t="n">
        <v>60</v>
      </c>
      <c r="E115" s="5" t="inlineStr">
        <is>
          <t>ж</t>
        </is>
      </c>
      <c r="F115" s="5" t="inlineStr">
        <is>
          <t>дочка Дарина 0505753921</t>
        </is>
      </c>
      <c r="G115" s="5" t="inlineStr">
        <is>
          <t>Негосп дв полісегм пнев 4 кл група</t>
        </is>
      </c>
      <c r="H115" s="5" t="inlineStr">
        <is>
          <t>важкий</t>
        </is>
      </c>
      <c r="I115" s="5" t="inlineStr">
        <is>
          <t>ІІ-ІІІ</t>
        </is>
      </c>
      <c r="J115" s="5" t="inlineStr">
        <is>
          <t>Гострий респіраторний дистрес синдром. Гостра серц-леген недос .Гостра емфізема легень.Токсико-інфекційний шок</t>
        </is>
      </c>
      <c r="K115" s="5" t="inlineStr">
        <is>
          <t>Бронхіальна астма. Емфізема легень. Дифузний пневмосклероз</t>
        </is>
      </c>
      <c r="O115" s="5" t="n">
        <v>80</v>
      </c>
      <c r="P115" s="5" t="n">
        <v>95</v>
      </c>
      <c r="R115" s="5" t="n">
        <v>10</v>
      </c>
      <c r="S115" s="6" t="n">
        <v>44611</v>
      </c>
      <c r="T115" s="6" t="n">
        <v>44634</v>
      </c>
      <c r="U115" s="5" t="n">
        <v>23</v>
      </c>
      <c r="V115" s="6" t="n">
        <v>44635</v>
      </c>
      <c r="W115" s="5" t="inlineStr">
        <is>
          <t>3 дні вдома</t>
        </is>
      </c>
      <c r="Y115" s="5" t="inlineStr">
        <is>
          <t>2 дні в стац</t>
        </is>
      </c>
      <c r="Z115" s="5" t="inlineStr">
        <is>
          <t>90/60</t>
        </is>
      </c>
      <c r="AA115" s="5" t="inlineStr">
        <is>
          <t>130/80</t>
        </is>
      </c>
      <c r="AB115" s="5" t="n">
        <v>23</v>
      </c>
      <c r="AC115" s="5" t="inlineStr">
        <is>
          <t>значні інтерстиційні зміни в зад-базальних відділах</t>
        </is>
      </c>
      <c r="AD115" s="5" t="n">
        <v>156</v>
      </c>
      <c r="AE115" s="5" t="n">
        <v>171</v>
      </c>
      <c r="AF115" s="5" t="n">
        <v>11.8</v>
      </c>
      <c r="AG115" s="5" t="n">
        <v>11</v>
      </c>
      <c r="AH115" s="5" t="n">
        <v>9</v>
      </c>
      <c r="AI115" s="5" t="n">
        <v>17</v>
      </c>
      <c r="AJ115" s="5" t="n">
        <v>73</v>
      </c>
      <c r="AK115" s="5" t="n">
        <v>70</v>
      </c>
      <c r="AL115" s="5" t="n">
        <v>14</v>
      </c>
      <c r="AM115" s="5" t="n">
        <v>7</v>
      </c>
      <c r="AN115" s="5" t="n">
        <v>28</v>
      </c>
      <c r="AO115" s="5" t="n">
        <v>14</v>
      </c>
      <c r="AP115" s="5" t="n">
        <v>8</v>
      </c>
      <c r="AQ115" s="5" t="n">
        <v>6</v>
      </c>
      <c r="AR115" s="5" t="n">
        <v>19.9</v>
      </c>
      <c r="AU115" s="5" t="n">
        <v>7144</v>
      </c>
      <c r="AX115" s="5" t="n">
        <v>0.043</v>
      </c>
      <c r="AY115" s="5" t="n">
        <v>42</v>
      </c>
      <c r="AZ115" s="5" t="n">
        <v>57</v>
      </c>
      <c r="BA115" s="5" t="n">
        <v>14.9</v>
      </c>
      <c r="BB115" s="5" t="n">
        <v>14.2</v>
      </c>
      <c r="BC115" s="5" t="n">
        <v>3.8</v>
      </c>
      <c r="BD115" s="5" t="n">
        <v>5.06</v>
      </c>
      <c r="BE115" s="5" t="n">
        <v>1.45</v>
      </c>
      <c r="BF115" s="5" t="n">
        <v>1.38</v>
      </c>
      <c r="BG115" s="5" t="n">
        <v>62</v>
      </c>
      <c r="BH115" s="5" t="n">
        <v>62</v>
      </c>
      <c r="BI115" s="5" t="n">
        <v>7.8</v>
      </c>
      <c r="BJ115" s="5" t="n">
        <v>7.2</v>
      </c>
      <c r="BK115" s="5" t="n">
        <v>102</v>
      </c>
      <c r="BL115" s="5" t="n">
        <v>90</v>
      </c>
      <c r="BM115" s="5" t="n">
        <v>15.3</v>
      </c>
      <c r="BN115" s="5" t="n">
        <v>25.5</v>
      </c>
      <c r="BO115" s="5" t="n">
        <v>5.1</v>
      </c>
      <c r="BP115" s="5" t="n">
        <v>9.4</v>
      </c>
      <c r="BQ115" s="5" t="n">
        <v>10.2</v>
      </c>
      <c r="BR115" s="5" t="n">
        <v>16.1</v>
      </c>
      <c r="BS115" s="5" t="n">
        <v>45.2</v>
      </c>
      <c r="BT115" s="5" t="n">
        <v>45.2</v>
      </c>
      <c r="BU115" s="5" t="n">
        <v>30.2</v>
      </c>
      <c r="BV115" s="5" t="n">
        <v>30.2</v>
      </c>
      <c r="BW115" s="5" t="n">
        <v>4.5</v>
      </c>
      <c r="BX115" s="5" t="n">
        <v>3.8</v>
      </c>
      <c r="BY115" s="5" t="inlineStr">
        <is>
          <t>полімедикаментозна алергія</t>
        </is>
      </c>
    </row>
    <row r="116" customFormat="1" s="5">
      <c r="A116" s="5" t="n">
        <v>1</v>
      </c>
      <c r="B116" s="5" t="n">
        <v>752</v>
      </c>
      <c r="C116" s="5" t="inlineStr">
        <is>
          <t>Ковалик олег Олександрович</t>
        </is>
      </c>
      <c r="D116" s="5" t="n">
        <v>69</v>
      </c>
      <c r="E116" s="5" t="inlineStr">
        <is>
          <t>ч</t>
        </is>
      </c>
      <c r="F116" s="5" t="inlineStr">
        <is>
          <t>дружина Оксана 0990499531</t>
        </is>
      </c>
      <c r="G116" s="5" t="inlineStr">
        <is>
          <t>Негосп дв полісегм пнев 4 кл група</t>
        </is>
      </c>
      <c r="H116" s="5" t="inlineStr">
        <is>
          <t>важкий</t>
        </is>
      </c>
      <c r="I116" s="5" t="inlineStr">
        <is>
          <t>ІІ-ІІІ</t>
        </is>
      </c>
      <c r="J116" s="5" t="inlineStr">
        <is>
          <t>Гострий респіраторний дистрес синдром. Гостра серц-леген недос .Гостра емфізема легень.Токсико-інфекційний шок</t>
        </is>
      </c>
      <c r="K116" s="5" t="inlineStr">
        <is>
          <t>ІХС ДК ГХст2.Атеросклероз аорти. Первинно зморщені нирки</t>
        </is>
      </c>
      <c r="O116" s="5" t="n">
        <v>85</v>
      </c>
      <c r="P116" s="5" t="n">
        <v>92</v>
      </c>
      <c r="R116" s="5" t="n">
        <v>5</v>
      </c>
      <c r="S116" s="6" t="n">
        <v>44591</v>
      </c>
      <c r="T116" s="6" t="n">
        <v>44606</v>
      </c>
      <c r="U116" s="5" t="n">
        <v>15</v>
      </c>
      <c r="V116" s="6" t="n">
        <v>44607</v>
      </c>
      <c r="X116" s="5" t="inlineStr">
        <is>
          <t>4 днів вдома</t>
        </is>
      </c>
      <c r="Z116" s="5" t="inlineStr">
        <is>
          <t>130/80</t>
        </is>
      </c>
      <c r="AA116" s="5" t="inlineStr">
        <is>
          <t>130/80</t>
        </is>
      </c>
      <c r="AB116" s="5" t="n">
        <v>15</v>
      </c>
      <c r="AC116" s="5" t="inlineStr">
        <is>
          <t>помірні інтерстиційні зміни , виражені в передніх зонах</t>
        </is>
      </c>
      <c r="AD116" s="5" t="n">
        <v>106</v>
      </c>
      <c r="AE116" s="5" t="n">
        <v>91</v>
      </c>
      <c r="AF116" s="5" t="n">
        <v>7.3</v>
      </c>
      <c r="AG116" s="5" t="n">
        <v>21</v>
      </c>
      <c r="AH116" s="5" t="n">
        <v>17</v>
      </c>
      <c r="AI116" s="5" t="n">
        <v>1</v>
      </c>
      <c r="AJ116" s="5" t="n">
        <v>68</v>
      </c>
      <c r="AK116" s="5" t="n">
        <v>89</v>
      </c>
      <c r="AL116" s="5" t="n">
        <v>14</v>
      </c>
      <c r="AM116" s="5" t="n">
        <v>7</v>
      </c>
      <c r="AN116" s="5" t="n">
        <v>34</v>
      </c>
      <c r="AO116" s="5" t="n">
        <v>21</v>
      </c>
      <c r="AP116" s="5" t="n">
        <v>18</v>
      </c>
      <c r="AQ116" s="5" t="n">
        <v>9</v>
      </c>
      <c r="AU116" s="5" t="n">
        <v>3497</v>
      </c>
      <c r="AX116" s="5" t="inlineStr">
        <is>
          <t>0.10</t>
        </is>
      </c>
      <c r="AY116" s="5" t="n">
        <v>37</v>
      </c>
      <c r="AZ116" s="5" t="n">
        <v>30</v>
      </c>
      <c r="BA116" s="5" t="n">
        <v>13.2</v>
      </c>
      <c r="BB116" s="5" t="n">
        <v>25.6</v>
      </c>
      <c r="BC116" s="5" t="n">
        <v>5.96</v>
      </c>
      <c r="BD116" s="5" t="n">
        <v>3.6</v>
      </c>
      <c r="BE116" s="5" t="n">
        <v>1.26</v>
      </c>
      <c r="BF116" s="5" t="n">
        <v>2.29</v>
      </c>
      <c r="BG116" s="5" t="n">
        <v>61.7</v>
      </c>
      <c r="BH116" s="5" t="n">
        <v>63</v>
      </c>
      <c r="BI116" s="5" t="n">
        <v>10</v>
      </c>
      <c r="BJ116" s="5" t="n">
        <v>35</v>
      </c>
      <c r="BK116" s="5" t="n">
        <v>127</v>
      </c>
      <c r="BL116" s="5" t="n">
        <v>680</v>
      </c>
      <c r="BM116" s="5" t="n">
        <v>15.6</v>
      </c>
      <c r="BN116" s="5" t="n">
        <v>11.9</v>
      </c>
      <c r="BO116" s="5" t="n">
        <v>5.1</v>
      </c>
      <c r="BP116" s="5" t="n">
        <v>3.4</v>
      </c>
      <c r="BQ116" s="5" t="n">
        <v>5.1</v>
      </c>
      <c r="BR116" s="5" t="n">
        <v>10.2</v>
      </c>
      <c r="BS116" s="5" t="n">
        <v>43.3</v>
      </c>
      <c r="BT116" s="5" t="n">
        <v>241</v>
      </c>
      <c r="BU116" s="5" t="n">
        <v>30.2</v>
      </c>
      <c r="BV116" s="5" t="n">
        <v>120.6</v>
      </c>
      <c r="BW116" s="5" t="n">
        <v>21</v>
      </c>
      <c r="BX116" s="5" t="n">
        <v>10</v>
      </c>
      <c r="BY116" s="5" t="inlineStr">
        <is>
          <t>ЦД вперше виявлений</t>
        </is>
      </c>
    </row>
    <row r="117" customFormat="1" s="5">
      <c r="A117" s="5" t="n">
        <v>1</v>
      </c>
      <c r="B117" s="5" t="n">
        <v>67</v>
      </c>
      <c r="C117" s="5" t="inlineStr">
        <is>
          <t>Сорочан Ігор Володимирович</t>
        </is>
      </c>
      <c r="D117" s="5" t="n">
        <v>54</v>
      </c>
      <c r="E117" s="5" t="inlineStr">
        <is>
          <t>ч</t>
        </is>
      </c>
      <c r="F117" s="5" t="inlineStr">
        <is>
          <t>дружина Христина 0965424744</t>
        </is>
      </c>
      <c r="G117" s="5" t="inlineStr">
        <is>
          <t>Негосп дв полісегм пнев 4 кл група</t>
        </is>
      </c>
      <c r="H117" s="5" t="inlineStr">
        <is>
          <t>важкий</t>
        </is>
      </c>
      <c r="I117" s="5" t="inlineStr">
        <is>
          <t>ІІ-ІІІ</t>
        </is>
      </c>
      <c r="J117" s="5" t="inlineStr">
        <is>
          <t>Гострий респіраторний дистрес синдром. Гостра серц-леген недос .Гостра емфізема легень.Токсико-інфекційний шок</t>
        </is>
      </c>
      <c r="K117" s="5" t="inlineStr">
        <is>
          <t>Хронічний холецисто-панкреатит</t>
        </is>
      </c>
      <c r="L117" s="7" t="n">
        <v>0.25</v>
      </c>
      <c r="M117" s="5" t="inlineStr">
        <is>
          <t>легкий</t>
        </is>
      </c>
      <c r="O117" s="5" t="n">
        <v>78</v>
      </c>
      <c r="P117" s="5" t="n">
        <v>95</v>
      </c>
      <c r="R117" s="5" t="n">
        <v>7</v>
      </c>
      <c r="S117" s="6" t="n">
        <v>44652</v>
      </c>
      <c r="T117" s="6" t="n">
        <v>44660</v>
      </c>
      <c r="U117" s="5" t="n">
        <v>8</v>
      </c>
      <c r="V117" s="6" t="n">
        <v>44661</v>
      </c>
      <c r="X117" s="5" t="inlineStr">
        <is>
          <t>3дні вдома</t>
        </is>
      </c>
      <c r="Y117" s="5" t="inlineStr">
        <is>
          <t>2 дні в стац</t>
        </is>
      </c>
      <c r="Z117" s="5" t="inlineStr">
        <is>
          <t>130/80</t>
        </is>
      </c>
      <c r="AA117" s="5" t="inlineStr">
        <is>
          <t>130/80</t>
        </is>
      </c>
      <c r="AB117" s="5" t="n">
        <v>8</v>
      </c>
      <c r="AC117" s="5" t="inlineStr">
        <is>
          <t>помірні інтерстиційні зміни, дифузний тип</t>
        </is>
      </c>
      <c r="AD117" s="5" t="n">
        <v>133</v>
      </c>
      <c r="AE117" s="5" t="n">
        <v>137</v>
      </c>
      <c r="AF117" s="5" t="n">
        <v>16.1</v>
      </c>
      <c r="AG117" s="5" t="n">
        <v>19.6</v>
      </c>
      <c r="AH117" s="5" t="n">
        <v>19</v>
      </c>
      <c r="AI117" s="5" t="n">
        <v>26</v>
      </c>
      <c r="AJ117" s="5" t="n">
        <v>77</v>
      </c>
      <c r="AK117" s="5" t="n">
        <v>70</v>
      </c>
      <c r="AL117" s="5" t="n">
        <v>2</v>
      </c>
      <c r="AM117" s="5" t="n">
        <v>2</v>
      </c>
      <c r="AN117" s="5" t="n">
        <v>16</v>
      </c>
      <c r="AO117" s="5" t="n">
        <v>16</v>
      </c>
      <c r="AP117" s="5" t="n">
        <v>6</v>
      </c>
      <c r="AQ117" s="5" t="n">
        <v>18</v>
      </c>
      <c r="AU117" s="5" t="n">
        <v>9353</v>
      </c>
      <c r="AX117" s="5" t="inlineStr">
        <is>
          <t>0.10</t>
        </is>
      </c>
      <c r="AY117" s="5" t="n">
        <v>40</v>
      </c>
      <c r="BA117" s="5" t="n">
        <v>14.1</v>
      </c>
      <c r="BC117" s="5" t="n">
        <v>3.64</v>
      </c>
      <c r="BE117" s="5" t="n">
        <v>1.34</v>
      </c>
      <c r="BG117" s="5" t="n">
        <v>56</v>
      </c>
      <c r="BH117" s="5" t="n">
        <v>52</v>
      </c>
      <c r="BI117" s="5" t="n">
        <v>7.5</v>
      </c>
      <c r="BJ117" s="5" t="n">
        <v>7.2</v>
      </c>
      <c r="BK117" s="5" t="n">
        <v>104</v>
      </c>
      <c r="BL117" s="5" t="n">
        <v>110</v>
      </c>
      <c r="BM117" s="5" t="n">
        <v>17</v>
      </c>
      <c r="BN117" s="5" t="n">
        <v>17.2</v>
      </c>
      <c r="BO117" s="5" t="n">
        <v>5.2</v>
      </c>
      <c r="BP117" s="5" t="n">
        <v>5.1</v>
      </c>
      <c r="BQ117" s="5" t="n">
        <v>11.9</v>
      </c>
      <c r="BR117" s="5" t="n">
        <v>11.3</v>
      </c>
      <c r="BT117" s="5" t="n">
        <v>60.2</v>
      </c>
      <c r="BV117" s="5" t="n">
        <v>36.2</v>
      </c>
      <c r="BW117" s="5" t="n">
        <v>11.8</v>
      </c>
      <c r="BX117" s="5" t="n">
        <v>9</v>
      </c>
    </row>
    <row r="118" customFormat="1" s="5">
      <c r="A118" s="5" t="n">
        <v>1</v>
      </c>
      <c r="B118" s="5" t="n">
        <v>2153</v>
      </c>
      <c r="C118" s="5" t="inlineStr">
        <is>
          <t>Багрій Микола Олександрович</t>
        </is>
      </c>
      <c r="D118" s="5" t="n">
        <v>81</v>
      </c>
      <c r="E118" s="5" t="inlineStr">
        <is>
          <t>ч</t>
        </is>
      </c>
      <c r="F118" s="5" t="inlineStr">
        <is>
          <t>син Василь 0992528456</t>
        </is>
      </c>
      <c r="G118" s="5" t="inlineStr">
        <is>
          <t>Негосп дв полісегм пнев 4 кл група</t>
        </is>
      </c>
      <c r="H118" s="5" t="inlineStr">
        <is>
          <t>важкий</t>
        </is>
      </c>
      <c r="I118" s="5" t="inlineStr">
        <is>
          <t>ІІ-ІІІ</t>
        </is>
      </c>
      <c r="J118" s="5" t="inlineStr">
        <is>
          <t>Гострий респіраторний дистрес синдром. Гостра серц-леген недос .Гостра емфізема легень.Токсико-інфекційний шок</t>
        </is>
      </c>
      <c r="K118" s="5" t="inlineStr">
        <is>
          <t>ІХС ДК СН ІІа Атеросклероз аорти та вінцевих судин.  Кардіомегалія</t>
        </is>
      </c>
      <c r="O118" s="5" t="n">
        <v>72</v>
      </c>
      <c r="P118" s="5" t="n">
        <v>96</v>
      </c>
      <c r="R118" s="5" t="n">
        <v>7</v>
      </c>
      <c r="S118" s="6" t="n">
        <v>44666</v>
      </c>
      <c r="T118" s="6" t="n">
        <v>44673</v>
      </c>
      <c r="U118" s="5" t="n">
        <v>7</v>
      </c>
      <c r="V118" s="6" t="n">
        <v>44674</v>
      </c>
      <c r="X118" s="5" t="inlineStr">
        <is>
          <t>4дні вдома</t>
        </is>
      </c>
      <c r="Z118" s="5" t="inlineStr">
        <is>
          <t>130/80</t>
        </is>
      </c>
      <c r="AA118" s="5" t="inlineStr">
        <is>
          <t>130/80</t>
        </is>
      </c>
      <c r="AB118" s="5" t="n">
        <v>7</v>
      </c>
      <c r="AC118" s="5" t="inlineStr">
        <is>
          <t>даних немає</t>
        </is>
      </c>
      <c r="AD118" s="5" t="n">
        <v>123</v>
      </c>
      <c r="AF118" s="5" t="n">
        <v>5.1</v>
      </c>
      <c r="AH118" s="5" t="n">
        <v>16</v>
      </c>
      <c r="AJ118" s="5" t="n">
        <v>70</v>
      </c>
      <c r="AL118" s="5" t="n">
        <v>12</v>
      </c>
      <c r="AN118" s="5" t="n">
        <v>44</v>
      </c>
      <c r="AP118" s="5" t="n">
        <v>12</v>
      </c>
      <c r="AU118" s="5" t="n">
        <v>10000</v>
      </c>
      <c r="AX118" s="5" t="inlineStr">
        <is>
          <t>0.10</t>
        </is>
      </c>
      <c r="AY118" s="5" t="n">
        <v>40</v>
      </c>
      <c r="BA118" s="5" t="n">
        <v>25.2</v>
      </c>
      <c r="BC118" s="5" t="n">
        <v>7.8</v>
      </c>
      <c r="BE118" s="5" t="n">
        <v>2.25</v>
      </c>
      <c r="BG118" s="5" t="n">
        <v>68</v>
      </c>
      <c r="BI118" s="5" t="n">
        <v>5.2</v>
      </c>
      <c r="BK118" s="5" t="n">
        <v>79</v>
      </c>
      <c r="BM118" s="5" t="n">
        <v>18.7</v>
      </c>
      <c r="BO118" s="5" t="n">
        <v>6.8</v>
      </c>
      <c r="BQ118" s="5" t="n">
        <v>11.9</v>
      </c>
      <c r="BS118" s="5" t="n">
        <v>30.2</v>
      </c>
      <c r="BU118" s="5" t="n">
        <v>18.1</v>
      </c>
      <c r="BW118" s="5" t="n">
        <v>5.5</v>
      </c>
    </row>
    <row r="119" customFormat="1" s="5">
      <c r="A119" s="5" t="n">
        <v>1</v>
      </c>
      <c r="B119" s="5" t="n">
        <v>2714</v>
      </c>
      <c r="C119" s="5" t="inlineStr">
        <is>
          <t>Марчука Марія Григорівна</t>
        </is>
      </c>
      <c r="D119" s="5" t="n">
        <v>65</v>
      </c>
      <c r="E119" s="5" t="inlineStr">
        <is>
          <t>ж</t>
        </is>
      </c>
      <c r="F119" s="5" t="inlineStr">
        <is>
          <t>син Юрій 0506942669</t>
        </is>
      </c>
      <c r="G119" s="5" t="inlineStr">
        <is>
          <t>Негосп дв полісегм пнев 4 кл група</t>
        </is>
      </c>
      <c r="H119" s="5" t="inlineStr">
        <is>
          <t>важкий</t>
        </is>
      </c>
      <c r="I119" s="5" t="inlineStr">
        <is>
          <t>ІІ-ІІІ</t>
        </is>
      </c>
      <c r="J119" s="5" t="inlineStr">
        <is>
          <t>Гострий респіраторний дистрес синдром. Гостра серц-леген недос .Гостра емфізема легень.Токсико-інфекційний шок</t>
        </is>
      </c>
      <c r="K119" s="5" t="inlineStr">
        <is>
          <t>ІХС ДК СН ІІа Атеросклероз аорти та вінцевих судин.   Рак лівої молочної залози та сечового міхура</t>
        </is>
      </c>
      <c r="O119" s="5" t="n">
        <v>70</v>
      </c>
      <c r="P119" s="5" t="n">
        <v>97</v>
      </c>
      <c r="R119" s="5" t="n">
        <v>5</v>
      </c>
      <c r="S119" s="6" t="n">
        <v>44680</v>
      </c>
      <c r="T119" s="6" t="n">
        <v>44684</v>
      </c>
      <c r="U119" s="5" t="n">
        <v>4</v>
      </c>
      <c r="V119" s="6" t="n">
        <v>44685</v>
      </c>
      <c r="X119" s="5" t="inlineStr">
        <is>
          <t xml:space="preserve">2дні вдома </t>
        </is>
      </c>
      <c r="Z119" s="5" t="inlineStr">
        <is>
          <t>130/80</t>
        </is>
      </c>
      <c r="AA119" s="5" t="inlineStr">
        <is>
          <t>130/80</t>
        </is>
      </c>
      <c r="AB119" s="5" t="n">
        <v>10</v>
      </c>
      <c r="AC119" s="5" t="inlineStr">
        <is>
          <t xml:space="preserve">даних немає </t>
        </is>
      </c>
      <c r="AD119" s="5" t="n">
        <v>42</v>
      </c>
      <c r="AF119" s="5" t="n">
        <v>4.9</v>
      </c>
      <c r="AH119" s="5" t="n">
        <v>9</v>
      </c>
      <c r="AJ119" s="5" t="n">
        <v>76</v>
      </c>
      <c r="AL119" s="5" t="n">
        <v>1</v>
      </c>
      <c r="AN119" s="5" t="n">
        <v>30</v>
      </c>
      <c r="AP119" s="5" t="n">
        <v>8</v>
      </c>
      <c r="AU119" s="5" t="n">
        <v>10000</v>
      </c>
      <c r="AX119" s="5" t="inlineStr">
        <is>
          <t>0.10</t>
        </is>
      </c>
      <c r="AY119" s="5" t="n">
        <v>12</v>
      </c>
      <c r="BA119" s="5" t="n">
        <v>14</v>
      </c>
      <c r="BC119" s="5" t="n">
        <v>2.04</v>
      </c>
      <c r="BE119" s="5" t="n">
        <v>1.34</v>
      </c>
      <c r="BG119" s="5" t="n">
        <v>54</v>
      </c>
      <c r="BI119" s="5" t="n">
        <v>9.1</v>
      </c>
      <c r="BK119" s="5" t="n">
        <v>143</v>
      </c>
      <c r="BS119" s="5" t="n">
        <v>45</v>
      </c>
      <c r="BT119" s="5" t="n">
        <v>36.2</v>
      </c>
      <c r="BW119" s="5" t="n">
        <v>8.699999999999999</v>
      </c>
    </row>
    <row r="120" customFormat="1" s="5">
      <c r="A120" s="5" t="n">
        <v>1</v>
      </c>
      <c r="B120" s="5" t="n">
        <v>816</v>
      </c>
      <c r="C120" s="5" t="inlineStr">
        <is>
          <t>Жмуркоа Оксана Павлівна</t>
        </is>
      </c>
      <c r="D120" s="5" t="n">
        <v>52</v>
      </c>
      <c r="E120" s="5" t="inlineStr">
        <is>
          <t>ж</t>
        </is>
      </c>
      <c r="F120" s="5" t="inlineStr">
        <is>
          <t>дружинаРуслана 0990747776</t>
        </is>
      </c>
      <c r="G120" s="5" t="inlineStr">
        <is>
          <t>Негосп дв полісегм пнев 4 кл група</t>
        </is>
      </c>
      <c r="H120" s="5" t="inlineStr">
        <is>
          <t>важкий</t>
        </is>
      </c>
      <c r="I120" s="5" t="inlineStr">
        <is>
          <t>ІІ-ІІІ</t>
        </is>
      </c>
      <c r="J120" s="5" t="inlineStr">
        <is>
          <t>Тромбоз дрібних гілок легенової артерії. Набряк легень</t>
        </is>
      </c>
      <c r="K120" s="5" t="inlineStr">
        <is>
          <t xml:space="preserve">Анемія хронічного захворювання важкого ступеня </t>
        </is>
      </c>
      <c r="O120" s="5" t="n">
        <v>87</v>
      </c>
      <c r="P120" s="5" t="n">
        <v>98</v>
      </c>
      <c r="R120" s="5" t="n">
        <v>7</v>
      </c>
      <c r="S120" s="6" t="n">
        <v>44683</v>
      </c>
      <c r="T120" s="6" t="n">
        <v>44702</v>
      </c>
      <c r="U120" s="5" t="n">
        <v>19</v>
      </c>
      <c r="V120" s="6" t="n">
        <v>44703</v>
      </c>
      <c r="W120" s="5" t="inlineStr">
        <is>
          <t>2дні вдома</t>
        </is>
      </c>
      <c r="X120" s="5" t="inlineStr">
        <is>
          <t>3днів стац</t>
        </is>
      </c>
      <c r="Z120" s="5" t="inlineStr">
        <is>
          <t>130/80</t>
        </is>
      </c>
      <c r="AA120" s="5" t="inlineStr">
        <is>
          <t>130/80</t>
        </is>
      </c>
      <c r="AB120" s="5" t="n">
        <v>15</v>
      </c>
      <c r="AC120" s="5" t="inlineStr">
        <is>
          <t>інтерстиційні зміни більше виражені в базальних правих та передніх зонах</t>
        </is>
      </c>
      <c r="AD120" s="5" t="n">
        <v>78</v>
      </c>
      <c r="AE120" s="5" t="n">
        <v>62</v>
      </c>
      <c r="AF120" s="5" t="n">
        <v>4.1</v>
      </c>
      <c r="AG120" s="5" t="n">
        <v>12.1</v>
      </c>
      <c r="AH120" s="5" t="n">
        <v>10</v>
      </c>
      <c r="AI120" s="5" t="n">
        <v>20</v>
      </c>
      <c r="AJ120" s="5" t="n">
        <v>82</v>
      </c>
      <c r="AK120" s="5" t="n">
        <v>74</v>
      </c>
      <c r="AL120" s="5" t="n">
        <v>3</v>
      </c>
      <c r="AM120" s="5" t="n">
        <v>3</v>
      </c>
      <c r="AN120" s="5" t="n">
        <v>29</v>
      </c>
      <c r="AO120" s="5" t="n">
        <v>57</v>
      </c>
      <c r="AP120" s="5" t="n">
        <v>18</v>
      </c>
      <c r="AQ120" s="5" t="n">
        <v>12</v>
      </c>
      <c r="AU120" s="5" t="n">
        <v>1436</v>
      </c>
      <c r="AV120" s="5" t="n">
        <v>392</v>
      </c>
      <c r="AX120" s="5" t="inlineStr">
        <is>
          <t>0.10</t>
        </is>
      </c>
      <c r="AY120" s="5" t="n">
        <v>10</v>
      </c>
      <c r="AZ120" s="5" t="n">
        <v>19</v>
      </c>
      <c r="BA120" s="5" t="n">
        <v>33.5</v>
      </c>
      <c r="BB120" s="5" t="n">
        <v>10.6</v>
      </c>
      <c r="BC120" s="5" t="n">
        <v>5.7</v>
      </c>
      <c r="BD120" s="5" t="n">
        <v>4.42</v>
      </c>
      <c r="BE120" s="5" t="n">
        <v>1.03</v>
      </c>
      <c r="BF120" s="5" t="n">
        <v>1.04</v>
      </c>
      <c r="BG120" s="5" t="n">
        <v>57</v>
      </c>
      <c r="BH120" s="5" t="n">
        <v>52</v>
      </c>
      <c r="BI120" s="5" t="n">
        <v>4.9</v>
      </c>
      <c r="BJ120" s="5" t="n">
        <v>6</v>
      </c>
      <c r="BK120" s="5" t="n">
        <v>76</v>
      </c>
      <c r="BL120" s="5" t="n">
        <v>90</v>
      </c>
      <c r="BM120" s="5" t="n">
        <v>11.9</v>
      </c>
      <c r="BN120" s="5" t="n">
        <v>13.6</v>
      </c>
      <c r="BO120" s="5" t="n">
        <v>3.4</v>
      </c>
      <c r="BP120" s="5" t="n">
        <v>3.4</v>
      </c>
      <c r="BQ120" s="5" t="n">
        <v>17.5</v>
      </c>
      <c r="BR120" s="5" t="n">
        <v>10.2</v>
      </c>
      <c r="BS120" s="5" t="n">
        <v>82.59999999999999</v>
      </c>
      <c r="BT120" s="5" t="n">
        <v>52.4</v>
      </c>
      <c r="BU120" s="5" t="n">
        <v>54.3</v>
      </c>
      <c r="BV120" s="5" t="n">
        <v>42.2</v>
      </c>
      <c r="BW120" s="5" t="n">
        <v>10.4</v>
      </c>
      <c r="BX120" s="5" t="n">
        <v>15.2</v>
      </c>
      <c r="BY120" s="5" t="inlineStr">
        <is>
          <t>Шлунково-кишкові кровотечі</t>
        </is>
      </c>
    </row>
    <row r="121" customFormat="1" s="5">
      <c r="A121" s="5" t="n">
        <v>1</v>
      </c>
      <c r="B121" s="5" t="n">
        <v>1753</v>
      </c>
      <c r="C121" s="5" t="inlineStr">
        <is>
          <t xml:space="preserve">Тимківа Юлія Олегівна </t>
        </is>
      </c>
      <c r="D121" s="5" t="n">
        <v>73</v>
      </c>
      <c r="E121" s="5" t="inlineStr">
        <is>
          <t>ж</t>
        </is>
      </c>
      <c r="F121" s="5" t="inlineStr">
        <is>
          <t>невістка Олена 186134069</t>
        </is>
      </c>
      <c r="G121" s="5" t="inlineStr">
        <is>
          <t>Негосп дв полісегм пнев 4 кл група</t>
        </is>
      </c>
      <c r="H121" s="5" t="inlineStr">
        <is>
          <t>важкий</t>
        </is>
      </c>
      <c r="I121" s="5" t="inlineStr">
        <is>
          <t>ІІ-ІІІ</t>
        </is>
      </c>
      <c r="J121" s="5" t="inlineStr">
        <is>
          <t>Тромбоз дрібних гілок легенової артерії. Набряк легень.</t>
        </is>
      </c>
      <c r="K121" s="5" t="inlineStr">
        <is>
          <t xml:space="preserve">ІХС ДК ГЛШ ст2 СН ІІА </t>
        </is>
      </c>
      <c r="O121" s="5" t="n">
        <v>68</v>
      </c>
      <c r="P121" s="5" t="n">
        <v>92</v>
      </c>
      <c r="R121" s="5" t="n">
        <v>5</v>
      </c>
      <c r="S121" s="6" t="n">
        <v>44653</v>
      </c>
      <c r="T121" s="6" t="n">
        <v>44688</v>
      </c>
      <c r="U121" s="5" t="n">
        <v>15</v>
      </c>
      <c r="V121" s="6" t="n">
        <v>44688</v>
      </c>
      <c r="X121" s="5" t="inlineStr">
        <is>
          <t>3дні вдома</t>
        </is>
      </c>
      <c r="Z121" s="5" t="inlineStr">
        <is>
          <t>150/100</t>
        </is>
      </c>
      <c r="AA121" s="5" t="inlineStr">
        <is>
          <t>130/80</t>
        </is>
      </c>
      <c r="AB121" s="5" t="n">
        <v>15</v>
      </c>
      <c r="AC121" s="5" t="inlineStr">
        <is>
          <t xml:space="preserve">значні інтерстиційні зміни в зад-базальних відділах.Альвеоляриний синдром </t>
        </is>
      </c>
      <c r="AD121" s="5" t="n">
        <v>120</v>
      </c>
      <c r="AE121" s="5" t="n">
        <v>116</v>
      </c>
      <c r="AF121" s="5" t="n">
        <v>5</v>
      </c>
      <c r="AG121" s="5" t="n">
        <v>15.5</v>
      </c>
      <c r="AH121" s="5" t="n">
        <v>14</v>
      </c>
      <c r="AI121" s="5" t="n">
        <v>15</v>
      </c>
      <c r="AJ121" s="5" t="n">
        <v>73</v>
      </c>
      <c r="AK121" s="5" t="n">
        <v>85</v>
      </c>
      <c r="AL121" s="5" t="n">
        <v>8</v>
      </c>
      <c r="AM121" s="5" t="n">
        <v>1</v>
      </c>
      <c r="AN121" s="5" t="n">
        <v>62</v>
      </c>
      <c r="AO121" s="5" t="n">
        <v>19</v>
      </c>
      <c r="AP121" s="5" t="n">
        <v>32</v>
      </c>
      <c r="AQ121" s="5" t="n">
        <v>6</v>
      </c>
      <c r="AU121" s="5" t="n">
        <v>10000</v>
      </c>
      <c r="AV121" s="5" t="n">
        <v>3378</v>
      </c>
      <c r="AX121" s="5" t="inlineStr">
        <is>
          <t>0.10</t>
        </is>
      </c>
      <c r="AY121" s="5" t="n">
        <v>36</v>
      </c>
      <c r="AZ121" s="5" t="n">
        <v>34</v>
      </c>
      <c r="BA121" s="5" t="n">
        <v>13.4</v>
      </c>
      <c r="BB121" s="5" t="n">
        <v>12.9</v>
      </c>
      <c r="BC121" s="5" t="n">
        <v>6.37</v>
      </c>
      <c r="BD121" s="5" t="n">
        <v>4.36</v>
      </c>
      <c r="BE121" s="5" t="n">
        <v>1.28</v>
      </c>
      <c r="BF121" s="5" t="n">
        <v>1.24</v>
      </c>
      <c r="BG121" s="5" t="n">
        <v>60</v>
      </c>
      <c r="BH121" s="5" t="n">
        <v>80</v>
      </c>
      <c r="BI121" s="5" t="n">
        <v>7.1</v>
      </c>
      <c r="BJ121" s="5" t="n">
        <v>6.4</v>
      </c>
      <c r="BK121" s="5" t="n">
        <v>98</v>
      </c>
      <c r="BL121" s="5" t="n">
        <v>97</v>
      </c>
      <c r="BM121" s="5" t="n">
        <v>18.7</v>
      </c>
      <c r="BN121" s="5" t="n">
        <v>11.9</v>
      </c>
      <c r="BO121" s="5" t="n">
        <v>6.8</v>
      </c>
      <c r="BP121" s="5" t="n">
        <v>3.4</v>
      </c>
      <c r="BQ121" s="5" t="n">
        <v>11.9</v>
      </c>
      <c r="BR121" s="5" t="n">
        <v>8.5</v>
      </c>
      <c r="BS121" s="5" t="n">
        <v>30.2</v>
      </c>
      <c r="BT121" s="5" t="n">
        <v>67.5</v>
      </c>
      <c r="BU121" s="5" t="n">
        <v>28.1</v>
      </c>
      <c r="BV121" s="5" t="n">
        <v>36.2</v>
      </c>
      <c r="BW121" s="5" t="n">
        <v>6.9</v>
      </c>
      <c r="BX121" s="5" t="n">
        <v>8.9</v>
      </c>
    </row>
    <row r="122" customFormat="1" s="5">
      <c r="A122" s="5" t="n">
        <v>1</v>
      </c>
      <c r="B122" s="5" t="n">
        <v>2845</v>
      </c>
      <c r="C122" s="5" t="inlineStr">
        <is>
          <t xml:space="preserve">Яremчука Наталія Володимирівна </t>
        </is>
      </c>
      <c r="D122" s="5" t="n">
        <v>64</v>
      </c>
      <c r="E122" s="5" t="inlineStr">
        <is>
          <t>ж</t>
        </is>
      </c>
      <c r="F122" s="5" t="inlineStr">
        <is>
          <t>дочка Лариса 0997567817</t>
        </is>
      </c>
      <c r="G122" s="5" t="inlineStr">
        <is>
          <t>Негосп дв полісегм пнев 4 кл група</t>
        </is>
      </c>
      <c r="H122" s="5" t="inlineStr">
        <is>
          <t>важкий</t>
        </is>
      </c>
      <c r="I122" s="5" t="inlineStr">
        <is>
          <t>ІІ-ІІІ</t>
        </is>
      </c>
      <c r="J122" s="5" t="inlineStr">
        <is>
          <t>Прогресуюча серц-леген недос. Токсико-бактер шок. Набряк легень. ДВЗ-синд</t>
        </is>
      </c>
      <c r="K122" s="5" t="inlineStr">
        <is>
          <t>ІХС ДК ГХст2</t>
        </is>
      </c>
      <c r="O122" s="5" t="n">
        <v>86</v>
      </c>
      <c r="P122" s="5" t="n">
        <v>95</v>
      </c>
      <c r="R122" s="5" t="n">
        <v>8</v>
      </c>
      <c r="S122" s="6" t="n">
        <v>44668</v>
      </c>
      <c r="T122" s="6" t="n">
        <v>44686</v>
      </c>
      <c r="U122" s="5" t="n">
        <v>18</v>
      </c>
      <c r="V122" s="6" t="n">
        <v>44687</v>
      </c>
      <c r="X122" s="5" t="inlineStr">
        <is>
          <t xml:space="preserve">7днів вдома </t>
        </is>
      </c>
      <c r="Z122" s="5" t="inlineStr">
        <is>
          <t>150/100</t>
        </is>
      </c>
      <c r="AA122" s="5" t="inlineStr">
        <is>
          <t>130/80</t>
        </is>
      </c>
      <c r="AB122" s="5" t="n">
        <v>15</v>
      </c>
      <c r="AC122" s="5" t="inlineStr">
        <is>
          <t>виражені інтерстиційні зміни , дифузний тип</t>
        </is>
      </c>
      <c r="AD122" s="5" t="n">
        <v>142</v>
      </c>
      <c r="AE122" s="5" t="n">
        <v>149</v>
      </c>
      <c r="AF122" s="5" t="n">
        <v>8.199999999999999</v>
      </c>
      <c r="AG122" s="5" t="n">
        <v>17</v>
      </c>
      <c r="AH122" s="5" t="n">
        <v>12</v>
      </c>
      <c r="AI122" s="5" t="n">
        <v>6</v>
      </c>
      <c r="AJ122" s="5" t="n">
        <v>70</v>
      </c>
      <c r="AK122" s="5" t="n">
        <v>88</v>
      </c>
      <c r="AL122" s="5" t="n">
        <v>13</v>
      </c>
      <c r="AM122" s="5" t="n">
        <v>3</v>
      </c>
      <c r="AN122" s="5" t="n">
        <v>10</v>
      </c>
      <c r="AO122" s="5" t="n">
        <v>7</v>
      </c>
      <c r="AP122" s="5" t="n">
        <v>8</v>
      </c>
      <c r="AQ122" s="5" t="n">
        <v>6</v>
      </c>
      <c r="AU122" s="5" t="n">
        <v>10000</v>
      </c>
      <c r="AV122" s="5" t="n">
        <v>5478</v>
      </c>
      <c r="AX122" s="5" t="inlineStr">
        <is>
          <t>0.10</t>
        </is>
      </c>
      <c r="AY122" s="5" t="n">
        <v>42</v>
      </c>
      <c r="AZ122" s="5" t="n">
        <v>44</v>
      </c>
      <c r="BA122" s="5" t="n">
        <v>12.7</v>
      </c>
      <c r="BB122" s="5" t="n">
        <v>12.1</v>
      </c>
      <c r="BC122" s="5" t="n">
        <v>4.37</v>
      </c>
      <c r="BD122" s="5" t="n">
        <v>2.46</v>
      </c>
      <c r="BE122" s="5" t="n">
        <v>1.22</v>
      </c>
      <c r="BF122" s="5" t="n">
        <v>1.27</v>
      </c>
      <c r="BG122" s="5" t="n">
        <v>70</v>
      </c>
      <c r="BH122" s="5" t="n">
        <v>75</v>
      </c>
      <c r="BI122" s="5" t="n">
        <v>7.4</v>
      </c>
      <c r="BJ122" s="5" t="n">
        <v>8.1</v>
      </c>
      <c r="BK122" s="5" t="n">
        <v>94</v>
      </c>
      <c r="BL122" s="5" t="n">
        <v>120</v>
      </c>
      <c r="BM122" s="5" t="n">
        <v>11.9</v>
      </c>
      <c r="BN122" s="5" t="n">
        <v>17.5</v>
      </c>
      <c r="BO122" s="5" t="n">
        <v>3.4</v>
      </c>
      <c r="BP122" s="5" t="n">
        <v>5.1</v>
      </c>
      <c r="BQ122" s="5" t="n">
        <v>8.5</v>
      </c>
      <c r="BR122" s="5" t="n">
        <v>11.9</v>
      </c>
      <c r="BS122" s="5" t="n">
        <v>45.2</v>
      </c>
      <c r="BT122" s="5" t="n">
        <v>90.40000000000001</v>
      </c>
      <c r="BU122" s="5" t="n">
        <v>30.2</v>
      </c>
      <c r="BV122" s="5" t="n">
        <v>30.2</v>
      </c>
      <c r="BW122" s="5" t="n">
        <v>5.6</v>
      </c>
      <c r="BX122" s="5" t="n">
        <v>5.2</v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topLeftCell="A9" zoomScale="377" zoomScaleNormal="110" workbookViewId="0">
      <selection activeCell="A20" sqref="A20"/>
    </sheetView>
  </sheetViews>
  <sheetFormatPr baseColWidth="10" defaultColWidth="8.83203125" defaultRowHeight="15"/>
  <cols>
    <col width="10" customWidth="1" min="1" max="1"/>
    <col width="29.5" customWidth="1" min="2" max="2"/>
    <col width="11.83203125" customWidth="1" min="3" max="3"/>
    <col width="35.83203125" customWidth="1" min="5" max="5"/>
    <col width="28.5" customWidth="1" min="6" max="6"/>
    <col width="10.1640625" customWidth="1" min="7" max="7"/>
    <col width="11.83203125" customWidth="1" min="9" max="9"/>
    <col width="51.83203125" customWidth="1" min="10" max="10"/>
    <col width="9.83203125" customWidth="1" min="12" max="12"/>
    <col width="45.6640625" customWidth="1" min="13" max="13"/>
    <col width="12" customWidth="1" min="14" max="14"/>
    <col width="10.33203125" customWidth="1" min="15" max="15"/>
    <col width="10.83203125" customWidth="1" min="16" max="16"/>
    <col width="13.33203125" customWidth="1" min="17" max="17"/>
    <col width="12" customWidth="1" min="18" max="18"/>
    <col width="10" customWidth="1" min="19" max="19"/>
    <col width="12.33203125" customWidth="1" min="20" max="21"/>
    <col width="22.83203125" customWidth="1" min="22" max="22"/>
    <col width="24.1640625" customWidth="1" min="23" max="23"/>
    <col width="26.5" customWidth="1" min="24" max="24"/>
    <col width="94.33203125" customWidth="1" min="28" max="28"/>
    <col width="10.83203125" customWidth="1" min="46" max="46"/>
    <col width="14.6640625" customWidth="1" min="49" max="49"/>
    <col width="11.5" customWidth="1" min="50" max="50"/>
    <col width="11.6640625" customWidth="1" min="51" max="51"/>
    <col width="54.83203125" customWidth="1" min="76" max="76"/>
  </cols>
  <sheetData>
    <row r="1">
      <c r="A1" s="4" t="n">
        <v>0.8</v>
      </c>
      <c r="B1" t="n">
        <v>2</v>
      </c>
      <c r="C1">
        <f>B1*A1</f>
        <v/>
      </c>
    </row>
    <row r="2">
      <c r="A2" t="n">
        <v>80</v>
      </c>
      <c r="B2" t="n">
        <v>2</v>
      </c>
      <c r="C2">
        <f>B2*A2</f>
        <v/>
      </c>
    </row>
    <row r="4">
      <c r="A4" t="inlineStr">
        <is>
          <t>150/100</t>
        </is>
      </c>
      <c r="B4" t="n">
        <v>50</v>
      </c>
    </row>
    <row r="5">
      <c r="A5" t="inlineStr">
        <is>
          <t>200/150</t>
        </is>
      </c>
      <c r="B5" t="n">
        <v>50</v>
      </c>
    </row>
    <row r="6">
      <c r="A6" t="inlineStr">
        <is>
          <t>120/110</t>
        </is>
      </c>
      <c r="B6" t="n">
        <v>10</v>
      </c>
    </row>
    <row r="8">
      <c r="A8" t="n">
        <v>12</v>
      </c>
    </row>
    <row r="9">
      <c r="A9" t="inlineStr">
        <is>
          <t>qwe</t>
        </is>
      </c>
    </row>
    <row r="10">
      <c r="A10" t="n">
        <v>12.4</v>
      </c>
      <c r="B10" t="n">
        <v>2</v>
      </c>
      <c r="C10">
        <f>A10*B10</f>
        <v/>
      </c>
    </row>
    <row r="11">
      <c r="A11" t="inlineStr">
        <is>
          <t>123.4</t>
        </is>
      </c>
      <c r="B11" t="n">
        <v>2</v>
      </c>
      <c r="C11">
        <f>A11*B11</f>
        <v/>
      </c>
    </row>
    <row r="12">
      <c r="A12" s="1" t="n">
        <v>44663</v>
      </c>
      <c r="B12" t="n">
        <v>2</v>
      </c>
      <c r="C12">
        <f>A12*B12</f>
        <v/>
      </c>
    </row>
    <row r="14">
      <c r="A14" s="18" t="n">
        <v>1.333333333333333</v>
      </c>
      <c r="B14" t="n">
        <v>1</v>
      </c>
      <c r="C14">
        <f>A14*B14</f>
        <v/>
      </c>
    </row>
    <row r="15">
      <c r="A15" s="22" t="n">
        <v>0.333333333333333</v>
      </c>
      <c r="B15" t="n">
        <v>1</v>
      </c>
      <c r="C15">
        <f>A15*B15</f>
        <v/>
      </c>
    </row>
    <row r="17">
      <c r="A17" s="19" t="inlineStr">
        <is>
          <t>1235</t>
        </is>
      </c>
    </row>
    <row r="19">
      <c r="A19" s="18" t="n">
        <v>1.33333333333333</v>
      </c>
    </row>
    <row r="20">
      <c r="A20" s="18" t="n">
        <v>0.3333333333333333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Y1:BD1"/>
  <sheetViews>
    <sheetView zoomScale="140" zoomScaleNormal="140" workbookViewId="0">
      <selection activeCell="A1" sqref="A1:XFD13"/>
    </sheetView>
  </sheetViews>
  <sheetFormatPr baseColWidth="10" defaultColWidth="8.83203125" defaultRowHeight="15"/>
  <cols>
    <col width="10" customWidth="1" min="1" max="1"/>
    <col width="29.5" customWidth="1" min="2" max="2"/>
    <col width="29.83203125" customWidth="1" min="5" max="5"/>
    <col width="52" customWidth="1" min="6" max="6"/>
    <col width="12.33203125" customWidth="1" min="7" max="7"/>
    <col width="9.5" customWidth="1" min="8" max="8"/>
    <col width="116.33203125" customWidth="1" min="9" max="9"/>
    <col width="75.1640625" customWidth="1" min="10" max="10"/>
    <col width="5" customWidth="1" min="11" max="11"/>
    <col width="9.1640625" customWidth="1" min="12" max="12"/>
    <col width="7.5" customWidth="1" min="13" max="13"/>
    <col width="12.5" customWidth="1" min="14" max="14"/>
    <col width="10.83203125" customWidth="1" min="15" max="15"/>
    <col width="12.1640625" customWidth="1" min="16" max="16"/>
    <col width="14.1640625" customWidth="1" min="17" max="17"/>
    <col width="11.83203125" customWidth="1" min="18" max="18"/>
    <col width="11.1640625" customWidth="1" min="19" max="19"/>
    <col width="9.83203125" customWidth="1" min="20" max="20"/>
    <col width="12.83203125" customWidth="1" min="21" max="21"/>
    <col width="18" customWidth="1" min="22" max="22"/>
    <col width="12.5" customWidth="1" min="23" max="23"/>
    <col width="13.83203125" customWidth="1" min="24" max="24"/>
    <col width="11.5" customWidth="1" min="25" max="25"/>
    <col width="10.33203125" customWidth="1" min="26" max="26"/>
    <col width="66" customWidth="1" min="28" max="28"/>
    <col width="12.5" customWidth="1" min="50" max="50"/>
    <col width="12.1640625" customWidth="1" min="51" max="51"/>
    <col width="39.1640625" customWidth="1" min="76" max="76"/>
  </cols>
  <sheetData>
    <row r="1">
      <c r="AY1" s="1" t="n"/>
      <c r="BC1" s="1" t="n"/>
      <c r="BD1" s="1" t="n"/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ColWidth="8.83203125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2021-06-23T04:57:41Z</dcterms:created>
  <dcterms:modified xmlns:dcterms="http://purl.org/dc/terms/" xmlns:xsi="http://www.w3.org/2001/XMLSchema-instance" xsi:type="dcterms:W3CDTF">2026-09-21T07:24:20Z</dcterms:modified>
  <cp:lastModifiedBy>Yaroslav Vyklyuk</cp:lastModifiedBy>
</cp:coreProperties>
</file>
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vyklyuk/Documents/Vykladannya/Інтелектуальний аналіз даних/2026/Lecture 2/"/>
    </mc:Choice>
  </mc:AlternateContent>
  <xr:revisionPtr revIDLastSave="0" documentId="8_{24E9B93B-5A57-A943-BD98-DFAE4AD87AC5}" xr6:coauthVersionLast="47" xr6:coauthVersionMax="47" xr10:uidLastSave="{00000000-0000-0000-0000-000000000000}"/>
  <bookViews>
    <workbookView xWindow="0" yWindow="660" windowWidth="34560" windowHeight="21680" tabRatio="740" activeTab="4" xr2:uid="{A5C0F9F3-57C5-0644-A543-A78F54AD369F}"/>
  </bookViews>
  <sheets>
    <sheet name="Модель1" sheetId="9" r:id="rId1"/>
    <sheet name="Модель1М" sheetId="19" r:id="rId2"/>
    <sheet name="Альтернативи" sheetId="10" r:id="rId3"/>
    <sheet name="Аналіз" sheetId="11" r:id="rId4"/>
    <sheet name="Графік_таблиці" sheetId="1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C15" i="10"/>
  <c r="D13" i="10"/>
  <c r="D15" i="10"/>
  <c r="E13" i="10"/>
  <c r="E17" i="10" s="1"/>
  <c r="E15" i="10"/>
  <c r="F13" i="10"/>
  <c r="F17" i="10" s="1"/>
  <c r="G13" i="10"/>
  <c r="G17" i="10" s="1"/>
  <c r="G15" i="10"/>
  <c r="H13" i="10"/>
  <c r="H15" i="10"/>
  <c r="C16" i="10"/>
  <c r="D16" i="10"/>
  <c r="H16" i="10"/>
  <c r="C17" i="10"/>
  <c r="D17" i="10"/>
  <c r="H17" i="10"/>
  <c r="C18" i="10"/>
  <c r="D18" i="10"/>
  <c r="E18" i="10"/>
  <c r="F18" i="10"/>
  <c r="G18" i="10"/>
  <c r="H18" i="10"/>
  <c r="H19" i="10"/>
  <c r="H20" i="10" s="1"/>
  <c r="B13" i="10"/>
  <c r="B15" i="10"/>
  <c r="B16" i="10"/>
  <c r="B17" i="10"/>
  <c r="B18" i="10"/>
  <c r="B19" i="10"/>
  <c r="B20" i="10"/>
  <c r="G4" i="11"/>
  <c r="G14" i="11" s="1"/>
  <c r="G17" i="11" s="1"/>
  <c r="G20" i="11"/>
  <c r="E14" i="11"/>
  <c r="E17" i="11" s="1"/>
  <c r="E18" i="11"/>
  <c r="E19" i="11"/>
  <c r="E20" i="11"/>
  <c r="H4" i="11"/>
  <c r="H14" i="11"/>
  <c r="H18" i="11"/>
  <c r="H19" i="11"/>
  <c r="H20" i="11"/>
  <c r="F4" i="11"/>
  <c r="F14" i="11"/>
  <c r="F18" i="11"/>
  <c r="F21" i="11" s="1"/>
  <c r="F19" i="11"/>
  <c r="F20" i="11"/>
  <c r="C4" i="11"/>
  <c r="C14" i="11"/>
  <c r="C18" i="11"/>
  <c r="C19" i="11"/>
  <c r="C20" i="11"/>
  <c r="C21" i="11"/>
  <c r="C17" i="11"/>
  <c r="C22" i="11" s="1"/>
  <c r="D4" i="11"/>
  <c r="D14" i="11"/>
  <c r="D18" i="11"/>
  <c r="D19" i="11"/>
  <c r="D20" i="11"/>
  <c r="D21" i="11"/>
  <c r="D17" i="11"/>
  <c r="D22" i="11"/>
  <c r="B4" i="11"/>
  <c r="B14" i="11"/>
  <c r="B17" i="11"/>
  <c r="B22" i="11" s="1"/>
  <c r="B18" i="11"/>
  <c r="B19" i="11"/>
  <c r="B20" i="11"/>
  <c r="B21" i="11"/>
  <c r="C15" i="11"/>
  <c r="D15" i="11"/>
  <c r="B15" i="11"/>
  <c r="B19" i="15"/>
  <c r="B21" i="15"/>
  <c r="F21" i="15" s="1"/>
  <c r="C4" i="15"/>
  <c r="C19" i="15"/>
  <c r="C22" i="15" s="1"/>
  <c r="C21" i="15"/>
  <c r="D4" i="15"/>
  <c r="D19" i="15"/>
  <c r="D21" i="15" s="1"/>
  <c r="E4" i="15"/>
  <c r="E19" i="15"/>
  <c r="E21" i="15"/>
  <c r="B22" i="15"/>
  <c r="E22" i="15"/>
  <c r="C24" i="15"/>
  <c r="D24" i="15"/>
  <c r="E24" i="15"/>
  <c r="F27" i="15"/>
  <c r="B15" i="9"/>
  <c r="B14" i="9"/>
  <c r="B17" i="9" s="1"/>
  <c r="B18" i="9" s="1"/>
  <c r="B16" i="9"/>
  <c r="B13" i="9"/>
  <c r="B13" i="19"/>
  <c r="B15" i="19" s="1"/>
  <c r="B18" i="19"/>
  <c r="B17" i="19" l="1"/>
  <c r="E26" i="15"/>
  <c r="B23" i="11"/>
  <c r="C25" i="15"/>
  <c r="C26" i="15" s="1"/>
  <c r="I24" i="15"/>
  <c r="E16" i="10"/>
  <c r="E19" i="10" s="1"/>
  <c r="E20" i="10" s="1"/>
  <c r="B16" i="19"/>
  <c r="B19" i="19" s="1"/>
  <c r="B20" i="19" s="1"/>
  <c r="H21" i="11"/>
  <c r="D19" i="10"/>
  <c r="D20" i="10" s="1"/>
  <c r="F17" i="11"/>
  <c r="F22" i="11" s="1"/>
  <c r="F23" i="11" s="1"/>
  <c r="F15" i="11"/>
  <c r="F15" i="10"/>
  <c r="G16" i="10"/>
  <c r="G19" i="10" s="1"/>
  <c r="H17" i="11"/>
  <c r="H22" i="11" s="1"/>
  <c r="H15" i="11"/>
  <c r="C19" i="10"/>
  <c r="C20" i="10" s="1"/>
  <c r="C23" i="11"/>
  <c r="G20" i="10"/>
  <c r="D23" i="11"/>
  <c r="E21" i="11"/>
  <c r="E22" i="11" s="1"/>
  <c r="E25" i="15"/>
  <c r="F16" i="10"/>
  <c r="F19" i="10" s="1"/>
  <c r="D22" i="15"/>
  <c r="D25" i="15" s="1"/>
  <c r="D26" i="15" s="1"/>
  <c r="F19" i="15"/>
  <c r="B24" i="15"/>
  <c r="G15" i="11"/>
  <c r="G18" i="11"/>
  <c r="G19" i="11"/>
  <c r="G21" i="11" l="1"/>
  <c r="G22" i="11" s="1"/>
  <c r="G23" i="11" s="1"/>
  <c r="H23" i="11"/>
  <c r="F24" i="15"/>
  <c r="B25" i="15"/>
  <c r="B26" i="15" s="1"/>
  <c r="F20" i="10"/>
  <c r="F23" i="15"/>
  <c r="I25" i="15" s="1"/>
  <c r="I23" i="15"/>
  <c r="F22" i="15"/>
  <c r="F25" i="15" l="1"/>
  <c r="F26" i="15" s="1"/>
  <c r="F28" i="15" s="1"/>
  <c r="I3" i="15" l="1"/>
  <c r="I26" i="15"/>
</calcChain>
</file>

<file path=xl/sharedStrings.xml><?xml version="1.0" encoding="utf-8"?>
<sst xmlns="http://schemas.openxmlformats.org/spreadsheetml/2006/main" count="120" uniqueCount="43">
  <si>
    <t xml:space="preserve"> </t>
  </si>
  <si>
    <t>Simon Pie Co. — Модель тижневого прибутку</t>
  </si>
  <si>
    <t>Змінні рішення:</t>
  </si>
  <si>
    <t>Ціна пирога</t>
  </si>
  <si>
    <t>Попит і обсяг продажу (тис. шт. на тиждень)</t>
  </si>
  <si>
    <t>Параметри:</t>
  </si>
  <si>
    <t xml:space="preserve">Питомі витрати на обробку </t>
  </si>
  <si>
    <t xml:space="preserve">Питомі витрати на закупівлю начинки </t>
  </si>
  <si>
    <t xml:space="preserve">Питомі витрати на закупівлю тіста </t>
  </si>
  <si>
    <t xml:space="preserve">Постійні витрати </t>
  </si>
  <si>
    <t xml:space="preserve">Фінансові результати </t>
  </si>
  <si>
    <t>Дохід</t>
  </si>
  <si>
    <t>Витрати на обробку</t>
  </si>
  <si>
    <t>Витрати на інгредієнти</t>
  </si>
  <si>
    <t>Накладні витрати</t>
  </si>
  <si>
    <t>Загальні витрати</t>
  </si>
  <si>
    <t>Прибуток (до сплати податків)</t>
  </si>
  <si>
    <t>Вільний член</t>
  </si>
  <si>
    <t>Коефіцієнт пропорційності</t>
  </si>
  <si>
    <t>Фізичні результати</t>
  </si>
  <si>
    <t>Попит і обсяг продажу (тис. шт.)</t>
  </si>
  <si>
    <t>Коефіцієнти рівняння попиту</t>
  </si>
  <si>
    <t>Відношення до базової ціни $9.00 (%)</t>
  </si>
  <si>
    <t>Зміна порівняно з базовим попитом (%)</t>
  </si>
  <si>
    <t>Зміна порівняно з базовим прибутком (%)</t>
  </si>
  <si>
    <t>Рівняння витрат на обробку</t>
  </si>
  <si>
    <t>Разом</t>
  </si>
  <si>
    <t>Тип пирога</t>
  </si>
  <si>
    <t>Яблучний</t>
  </si>
  <si>
    <t>Лимонний</t>
  </si>
  <si>
    <t>Полуничний</t>
  </si>
  <si>
    <t>Вишневий</t>
  </si>
  <si>
    <t>Різниця з ціною яблучного пирога</t>
  </si>
  <si>
    <t>Усього</t>
  </si>
  <si>
    <t>Звичайні виробничі витрати</t>
  </si>
  <si>
    <t>Витрати на понаднормові</t>
  </si>
  <si>
    <t>Питомі витрати на понаднормові</t>
  </si>
  <si>
    <t>Сумарні змінні витрати</t>
  </si>
  <si>
    <t>Звичайна виробнича потужність</t>
  </si>
  <si>
    <t>Прибуток</t>
  </si>
  <si>
    <t>Попит</t>
  </si>
  <si>
    <t>Базова ціна</t>
  </si>
  <si>
    <t>Ціна яблучного пирога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</si>
</sst>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3" formatCode="&quot;$&quot;#,##0_);[Red]\(&quot;$&quot;#,##0\)"/>
    <numFmt numFmtId="175" formatCode="&quot;$&quot;#,##0.00_);[Red]\(&quot;$&quot;#,##0.00\)"/>
    <numFmt numFmtId="178" formatCode="_(&quot;$&quot;* #,##0.00_);_(&quot;$&quot;* \(#,##0.00\);_(&quot;$&quot;* &quot;-&quot;??_);_(@_)"/>
    <numFmt numFmtId="179" formatCode="_(* #,##0.00_);_(* \(#,##0.00\);_(* &quot;-&quot;??_);_(@_)"/>
    <numFmt numFmtId="187" formatCode="_(* #,##0.0_);_(* \(#,##0.0\);_(* &quot;-&quot;??_);_(@_)"/>
    <numFmt numFmtId="191" formatCode="0.0"/>
    <numFmt numFmtId="193" formatCode="0.000"/>
    <numFmt numFmtId="196" formatCode="&quot;$&quot;#,##0.0_);[Red]\(&quot;$&quot;#,##0.0\)"/>
    <numFmt numFmtId="200" formatCode="0.0%"/>
    <numFmt numFmtId="201" formatCode="[$$-409]#,##0.00"/>
    <numFmt numFmtId="203" formatCode="[$$-409]#,##0.0"/>
  </numFmts>
  <fonts count="8">
    <font>
      <sz val="10"/>
      <name val="MS Sans Serif"/>
    </font>
    <font>
      <sz val="10"/>
      <name val="MS Sans Serif"/>
    </font>
    <font>
      <sz val="10"/>
      <name val="Geneva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22"/>
      <name val="Arial"/>
      <family val="2"/>
    </font>
    <font>
      <sz val="9"/>
      <name val="Arial"/>
      <family val="2"/>
    </font>
    <font>
      <sz val="9"/>
      <color indexed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75" fontId="2" fillId="0" borderId="0" applyFont="0" applyFill="0" applyBorder="0" applyAlignment="0" applyProtection="0"/>
    <xf numFmtId="0" fontId="2" fillId="0" borderId="0"/>
    <xf numFmtId="17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2" applyFont="1" applyAlignment="1">
      <alignment horizontal="left"/>
    </xf>
    <xf numFmtId="0" fontId="5" fillId="2" borderId="0" xfId="2" applyFont="1" applyFill="1" applyAlignment="1">
      <alignment horizontal="left"/>
    </xf>
    <xf numFmtId="0" fontId="6" fillId="0" borderId="0" xfId="2" applyFont="1"/>
    <xf numFmtId="0" fontId="4" fillId="0" borderId="1" xfId="2" applyFont="1" applyBorder="1" applyAlignment="1">
      <alignment horizontal="left"/>
    </xf>
    <xf numFmtId="0" fontId="6" fillId="2" borderId="0" xfId="2" applyFont="1" applyFill="1" applyAlignment="1">
      <alignment horizontal="left"/>
    </xf>
    <xf numFmtId="0" fontId="6" fillId="0" borderId="0" xfId="2" applyFont="1" applyAlignment="1">
      <alignment horizontal="left"/>
    </xf>
    <xf numFmtId="175" fontId="6" fillId="0" borderId="0" xfId="1" applyFont="1" applyAlignment="1">
      <alignment horizontal="center"/>
    </xf>
    <xf numFmtId="175" fontId="6" fillId="2" borderId="0" xfId="1" applyFont="1" applyFill="1" applyAlignment="1">
      <alignment horizontal="center"/>
    </xf>
    <xf numFmtId="0" fontId="6" fillId="0" borderId="0" xfId="2" applyFont="1" applyAlignment="1">
      <alignment horizontal="left" wrapText="1"/>
    </xf>
    <xf numFmtId="0" fontId="6" fillId="0" borderId="0" xfId="1" applyNumberFormat="1" applyFont="1" applyAlignment="1">
      <alignment horizontal="center"/>
    </xf>
    <xf numFmtId="0" fontId="6" fillId="2" borderId="0" xfId="1" applyNumberFormat="1" applyFont="1" applyFill="1" applyAlignment="1">
      <alignment horizontal="center"/>
    </xf>
    <xf numFmtId="0" fontId="7" fillId="2" borderId="0" xfId="2" applyFont="1" applyFill="1"/>
    <xf numFmtId="2" fontId="7" fillId="2" borderId="0" xfId="2" applyNumberFormat="1" applyFont="1" applyFill="1" applyAlignment="1">
      <alignment horizontal="center"/>
    </xf>
    <xf numFmtId="2" fontId="7" fillId="0" borderId="0" xfId="2" applyNumberFormat="1" applyFont="1" applyAlignment="1">
      <alignment horizontal="center"/>
    </xf>
    <xf numFmtId="0" fontId="7" fillId="0" borderId="0" xfId="2" applyFont="1"/>
    <xf numFmtId="0" fontId="6" fillId="0" borderId="0" xfId="2" applyFont="1" applyAlignment="1">
      <alignment horizontal="left" indent="1"/>
    </xf>
    <xf numFmtId="175" fontId="6" fillId="0" borderId="0" xfId="1" applyNumberFormat="1" applyFont="1" applyAlignment="1">
      <alignment horizontal="center"/>
    </xf>
    <xf numFmtId="173" fontId="6" fillId="2" borderId="0" xfId="1" applyNumberFormat="1" applyFont="1" applyFill="1" applyAlignment="1">
      <alignment horizontal="center"/>
    </xf>
    <xf numFmtId="173" fontId="6" fillId="0" borderId="0" xfId="1" applyNumberFormat="1" applyFont="1" applyAlignment="1">
      <alignment horizontal="center"/>
    </xf>
    <xf numFmtId="0" fontId="6" fillId="0" borderId="1" xfId="2" applyFont="1" applyBorder="1" applyAlignment="1">
      <alignment horizontal="left" indent="1"/>
    </xf>
    <xf numFmtId="0" fontId="6" fillId="2" borderId="0" xfId="2" applyFont="1" applyFill="1" applyBorder="1" applyAlignment="1">
      <alignment horizontal="left" indent="1"/>
    </xf>
    <xf numFmtId="0" fontId="6" fillId="0" borderId="0" xfId="2" applyFont="1" applyBorder="1" applyAlignment="1">
      <alignment horizontal="left" indent="1"/>
    </xf>
    <xf numFmtId="173" fontId="6" fillId="0" borderId="1" xfId="1" applyNumberFormat="1" applyFont="1" applyBorder="1" applyAlignment="1">
      <alignment horizontal="center"/>
    </xf>
    <xf numFmtId="175" fontId="6" fillId="0" borderId="0" xfId="2" applyNumberFormat="1" applyFont="1" applyAlignment="1">
      <alignment horizontal="center"/>
    </xf>
    <xf numFmtId="178" fontId="6" fillId="0" borderId="0" xfId="3" applyFont="1"/>
    <xf numFmtId="0" fontId="6" fillId="0" borderId="0" xfId="2" applyFont="1" applyAlignment="1">
      <alignment horizontal="center"/>
    </xf>
    <xf numFmtId="0" fontId="4" fillId="2" borderId="0" xfId="2" applyFont="1" applyFill="1" applyAlignment="1">
      <alignment horizontal="left"/>
    </xf>
    <xf numFmtId="0" fontId="6" fillId="2" borderId="0" xfId="2" applyFont="1" applyFill="1"/>
    <xf numFmtId="0" fontId="4" fillId="0" borderId="0" xfId="2" applyFont="1" applyBorder="1" applyAlignment="1">
      <alignment horizontal="left" indent="1"/>
    </xf>
    <xf numFmtId="0" fontId="6" fillId="0" borderId="0" xfId="2" applyFont="1" applyBorder="1" applyAlignment="1">
      <alignment horizontal="left" indent="2"/>
    </xf>
    <xf numFmtId="191" fontId="6" fillId="0" borderId="0" xfId="1" applyNumberFormat="1" applyFont="1" applyAlignment="1">
      <alignment horizontal="center"/>
    </xf>
    <xf numFmtId="196" fontId="6" fillId="0" borderId="0" xfId="1" applyNumberFormat="1" applyFont="1" applyAlignment="1">
      <alignment horizontal="center"/>
    </xf>
    <xf numFmtId="0" fontId="6" fillId="0" borderId="0" xfId="2" applyFont="1" applyAlignment="1">
      <alignment horizontal="left" indent="2"/>
    </xf>
    <xf numFmtId="0" fontId="6" fillId="0" borderId="0" xfId="5" applyNumberFormat="1" applyFont="1" applyAlignment="1">
      <alignment horizontal="center"/>
    </xf>
    <xf numFmtId="0" fontId="4" fillId="0" borderId="0" xfId="2" applyFont="1" applyBorder="1" applyAlignment="1">
      <alignment horizontal="left"/>
    </xf>
    <xf numFmtId="187" fontId="6" fillId="0" borderId="0" xfId="5" applyNumberFormat="1" applyFont="1" applyAlignment="1">
      <alignment horizontal="center"/>
    </xf>
    <xf numFmtId="173" fontId="6" fillId="0" borderId="0" xfId="1" applyNumberFormat="1" applyFont="1" applyAlignment="1">
      <alignment horizontal="right"/>
    </xf>
    <xf numFmtId="173" fontId="6" fillId="0" borderId="0" xfId="1" applyNumberFormat="1" applyFont="1" applyBorder="1" applyAlignment="1">
      <alignment horizontal="right"/>
    </xf>
    <xf numFmtId="201" fontId="6" fillId="0" borderId="0" xfId="1" applyNumberFormat="1" applyFont="1" applyAlignment="1">
      <alignment horizontal="center"/>
    </xf>
    <xf numFmtId="0" fontId="4" fillId="0" borderId="0" xfId="2" applyFont="1" applyFill="1" applyAlignment="1">
      <alignment horizontal="left"/>
    </xf>
    <xf numFmtId="175" fontId="6" fillId="2" borderId="0" xfId="1" applyNumberFormat="1" applyFont="1" applyFill="1" applyAlignment="1">
      <alignment horizontal="center"/>
    </xf>
    <xf numFmtId="193" fontId="6" fillId="2" borderId="0" xfId="1" applyNumberFormat="1" applyFont="1" applyFill="1" applyAlignment="1">
      <alignment horizontal="center"/>
    </xf>
    <xf numFmtId="175" fontId="6" fillId="0" borderId="0" xfId="1" applyFont="1" applyFill="1" applyAlignment="1">
      <alignment horizontal="center"/>
    </xf>
    <xf numFmtId="201" fontId="6" fillId="0" borderId="0" xfId="1" applyNumberFormat="1" applyFont="1" applyFill="1" applyAlignment="1">
      <alignment horizontal="center"/>
    </xf>
    <xf numFmtId="2" fontId="6" fillId="0" borderId="0" xfId="1" applyNumberFormat="1" applyFont="1" applyAlignment="1">
      <alignment horizontal="center"/>
    </xf>
    <xf numFmtId="173" fontId="6" fillId="0" borderId="0" xfId="2" applyNumberFormat="1" applyFont="1"/>
    <xf numFmtId="201" fontId="6" fillId="0" borderId="0" xfId="3" applyNumberFormat="1" applyFont="1"/>
    <xf numFmtId="0" fontId="6" fillId="0" borderId="0" xfId="1" applyNumberFormat="1" applyFont="1" applyFill="1" applyAlignment="1">
      <alignment horizontal="center"/>
    </xf>
    <xf numFmtId="196" fontId="6" fillId="0" borderId="0" xfId="1" applyNumberFormat="1" applyFont="1" applyFill="1" applyAlignment="1">
      <alignment horizontal="center"/>
    </xf>
    <xf numFmtId="0" fontId="6" fillId="0" borderId="0" xfId="2" applyFont="1" applyBorder="1" applyAlignment="1">
      <alignment horizontal="left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left"/>
    </xf>
    <xf numFmtId="0" fontId="6" fillId="0" borderId="2" xfId="2" applyFont="1" applyBorder="1"/>
    <xf numFmtId="201" fontId="6" fillId="0" borderId="5" xfId="2" applyNumberFormat="1" applyFont="1" applyBorder="1"/>
    <xf numFmtId="201" fontId="6" fillId="0" borderId="0" xfId="2" applyNumberFormat="1" applyFont="1" applyBorder="1"/>
    <xf numFmtId="191" fontId="6" fillId="0" borderId="6" xfId="2" applyNumberFormat="1" applyFont="1" applyBorder="1"/>
    <xf numFmtId="173" fontId="6" fillId="0" borderId="6" xfId="2" applyNumberFormat="1" applyFont="1" applyBorder="1"/>
    <xf numFmtId="196" fontId="6" fillId="0" borderId="6" xfId="2" applyNumberFormat="1" applyFont="1" applyBorder="1"/>
    <xf numFmtId="203" fontId="6" fillId="0" borderId="0" xfId="2" applyNumberFormat="1" applyFont="1"/>
    <xf numFmtId="0" fontId="6" fillId="0" borderId="0" xfId="2" applyFont="1" applyFill="1" applyAlignment="1">
      <alignment horizontal="left"/>
    </xf>
    <xf numFmtId="175" fontId="6" fillId="0" borderId="0" xfId="2" applyNumberFormat="1" applyFont="1" applyFill="1" applyAlignment="1">
      <alignment horizontal="center"/>
    </xf>
    <xf numFmtId="178" fontId="6" fillId="0" borderId="0" xfId="3" applyFont="1" applyFill="1"/>
    <xf numFmtId="0" fontId="6" fillId="0" borderId="0" xfId="2" applyFont="1" applyFill="1" applyAlignment="1">
      <alignment horizontal="center"/>
    </xf>
    <xf numFmtId="0" fontId="6" fillId="0" borderId="0" xfId="2" applyFont="1" applyFill="1"/>
    <xf numFmtId="9" fontId="6" fillId="0" borderId="0" xfId="4" applyFont="1" applyFill="1" applyAlignment="1">
      <alignment horizontal="right"/>
    </xf>
    <xf numFmtId="200" fontId="6" fillId="0" borderId="0" xfId="4" applyNumberFormat="1" applyFont="1" applyAlignment="1">
      <alignment horizontal="center"/>
    </xf>
    <xf numFmtId="201" fontId="6" fillId="0" borderId="1" xfId="2" applyNumberFormat="1" applyFont="1" applyBorder="1"/>
    <xf numFmtId="0" fontId="4" fillId="0" borderId="0" xfId="2" applyFont="1" applyAlignment="1">
      <alignment horizontal="center"/>
    </xf>
  </cellXfs>
  <cellStyles count="6">
    <cellStyle name="Comma" xfId="5" builtinId="3"/>
    <cellStyle name="Currency" xfId="3" builtinId="4"/>
    <cellStyle name="Currency_POCONO" xfId="1" xr:uid="{55972BB9-99F6-B64E-9788-955F2431CDFF}"/>
    <cellStyle name="Normal" xfId="0" builtinId="0"/>
    <cellStyle name="Normal_POCONO" xfId="2" xr:uid="{EA422945-4764-D846-82F3-4AF1F55DF51D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rPr lang="ru-RU"/>
              <a:t>Тижневий прибуток</a:t>
            </a:r>
          </a:p>
        </c:rich>
      </c:tx>
      <c:layout>
        <c:manualLayout>
          <c:xMode val="edge"/>
          <c:yMode val="edge"/>
          <c:x val="0.3671003494876669"/>
          <c:y val="4.04053824623062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9114776496789"/>
          <c:y val="0.11616547457913051"/>
          <c:w val="0.49115495034901635"/>
          <c:h val="0.747499575552665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Альтернативи!$A$15</c:f>
              <c:strCache>
                <c:ptCount val="1"/>
                <c:pt idx="0">
                  <c:v>Доход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Альтернативи!$B$3:$H$3</c:f>
              <c:numCache>
                <c:formatCode>"$"#\ ##0.00_);[Red]\("$"#\ ##0.00\)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  <c:pt idx="6">
                  <c:v>11</c:v>
                </c:pt>
              </c:numCache>
            </c:numRef>
          </c:xVal>
          <c:yVal>
            <c:numRef>
              <c:f>Альтернативи!$B$15:$H$15</c:f>
              <c:numCache>
                <c:formatCode>"$"#\ ##0_);[Red]\("$"#\ ##0\)</c:formatCode>
                <c:ptCount val="7"/>
                <c:pt idx="0">
                  <c:v>144</c:v>
                </c:pt>
                <c:pt idx="1">
                  <c:v>140</c:v>
                </c:pt>
                <c:pt idx="2">
                  <c:v>128</c:v>
                </c:pt>
                <c:pt idx="3">
                  <c:v>108</c:v>
                </c:pt>
                <c:pt idx="4">
                  <c:v>95</c:v>
                </c:pt>
                <c:pt idx="5">
                  <c:v>80</c:v>
                </c:pt>
                <c:pt idx="6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D-124D-B330-61213DEE8D4F}"/>
            </c:ext>
          </c:extLst>
        </c:ser>
        <c:ser>
          <c:idx val="1"/>
          <c:order val="1"/>
          <c:tx>
            <c:strRef>
              <c:f>Альтернативи!$A$16</c:f>
              <c:strCache>
                <c:ptCount val="1"/>
                <c:pt idx="0">
                  <c:v>Затраты на обработку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Альтернативи!$B$3:$H$3</c:f>
              <c:numCache>
                <c:formatCode>"$"#\ ##0.00_);[Red]\("$"#\ ##0.00\)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  <c:pt idx="6">
                  <c:v>11</c:v>
                </c:pt>
              </c:numCache>
            </c:numRef>
          </c:xVal>
          <c:yVal>
            <c:numRef>
              <c:f>Альтернативи!$B$16:$H$16</c:f>
              <c:numCache>
                <c:formatCode>"$"#\ ##0_);[Red]\("$"#\ ##0\)</c:formatCode>
                <c:ptCount val="7"/>
                <c:pt idx="0">
                  <c:v>49.199999999999996</c:v>
                </c:pt>
                <c:pt idx="1">
                  <c:v>41</c:v>
                </c:pt>
                <c:pt idx="2">
                  <c:v>32.799999999999997</c:v>
                </c:pt>
                <c:pt idx="3">
                  <c:v>24.599999999999998</c:v>
                </c:pt>
                <c:pt idx="4">
                  <c:v>20.5</c:v>
                </c:pt>
                <c:pt idx="5">
                  <c:v>16.399999999999999</c:v>
                </c:pt>
                <c:pt idx="6">
                  <c:v>8.1999999999999993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DD-124D-B330-61213DEE8D4F}"/>
            </c:ext>
          </c:extLst>
        </c:ser>
        <c:ser>
          <c:idx val="2"/>
          <c:order val="2"/>
          <c:tx>
            <c:strRef>
              <c:f>Альтернативи!$A$17</c:f>
              <c:strCache>
                <c:ptCount val="1"/>
                <c:pt idx="0">
                  <c:v>Затраты на ингредиенты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Альтернативи!$B$3:$H$3</c:f>
              <c:numCache>
                <c:formatCode>"$"#\ ##0.00_);[Red]\("$"#\ ##0.00\)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  <c:pt idx="6">
                  <c:v>11</c:v>
                </c:pt>
              </c:numCache>
            </c:numRef>
          </c:xVal>
          <c:yVal>
            <c:numRef>
              <c:f>Альтернативи!$B$17:$H$17</c:f>
              <c:numCache>
                <c:formatCode>"$"#\ ##0_);[Red]\("$"#\ ##0\)</c:formatCode>
                <c:ptCount val="7"/>
                <c:pt idx="0">
                  <c:v>90.72</c:v>
                </c:pt>
                <c:pt idx="1">
                  <c:v>75.599999999999994</c:v>
                </c:pt>
                <c:pt idx="2">
                  <c:v>60.48</c:v>
                </c:pt>
                <c:pt idx="3">
                  <c:v>45.36</c:v>
                </c:pt>
                <c:pt idx="4">
                  <c:v>37.799999999999997</c:v>
                </c:pt>
                <c:pt idx="5">
                  <c:v>30.24</c:v>
                </c:pt>
                <c:pt idx="6">
                  <c:v>15.12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DD-124D-B330-61213DEE8D4F}"/>
            </c:ext>
          </c:extLst>
        </c:ser>
        <c:ser>
          <c:idx val="3"/>
          <c:order val="3"/>
          <c:tx>
            <c:strRef>
              <c:f>Альтернативи!$A$18</c:f>
              <c:strCache>
                <c:ptCount val="1"/>
                <c:pt idx="0">
                  <c:v>Накладные расходы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Альтернативи!$B$3:$H$3</c:f>
              <c:numCache>
                <c:formatCode>"$"#\ ##0.00_);[Red]\("$"#\ ##0.00\)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  <c:pt idx="6">
                  <c:v>11</c:v>
                </c:pt>
              </c:numCache>
            </c:numRef>
          </c:xVal>
          <c:yVal>
            <c:numRef>
              <c:f>Альтернативи!$B$18:$H$18</c:f>
              <c:numCache>
                <c:formatCode>"$"#\ ##0_);[Red]\("$"#\ ##0\)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DD-124D-B330-61213DEE8D4F}"/>
            </c:ext>
          </c:extLst>
        </c:ser>
        <c:ser>
          <c:idx val="4"/>
          <c:order val="4"/>
          <c:tx>
            <c:strRef>
              <c:f>Альтернативи!$A$19</c:f>
              <c:strCache>
                <c:ptCount val="1"/>
                <c:pt idx="0">
                  <c:v>Общие издержки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Альтернативи!$B$3:$H$3</c:f>
              <c:numCache>
                <c:formatCode>"$"#\ ##0.00_);[Red]\("$"#\ ##0.00\)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  <c:pt idx="6">
                  <c:v>11</c:v>
                </c:pt>
              </c:numCache>
            </c:numRef>
          </c:xVal>
          <c:yVal>
            <c:numRef>
              <c:f>Альтернативи!$B$19:$H$19</c:f>
              <c:numCache>
                <c:formatCode>"$"#\ ##0_);[Red]\("$"#\ ##0\)</c:formatCode>
                <c:ptCount val="7"/>
                <c:pt idx="0">
                  <c:v>151.91999999999999</c:v>
                </c:pt>
                <c:pt idx="1">
                  <c:v>128.6</c:v>
                </c:pt>
                <c:pt idx="2">
                  <c:v>105.28</c:v>
                </c:pt>
                <c:pt idx="3">
                  <c:v>81.96</c:v>
                </c:pt>
                <c:pt idx="4">
                  <c:v>70.3</c:v>
                </c:pt>
                <c:pt idx="5">
                  <c:v>58.64</c:v>
                </c:pt>
                <c:pt idx="6">
                  <c:v>35.32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CDD-124D-B330-61213DEE8D4F}"/>
            </c:ext>
          </c:extLst>
        </c:ser>
        <c:ser>
          <c:idx val="5"/>
          <c:order val="5"/>
          <c:tx>
            <c:strRef>
              <c:f>Альтернативи!$A$20</c:f>
              <c:strCache>
                <c:ptCount val="1"/>
                <c:pt idx="0">
                  <c:v>Прибыль (до уплаты налогов)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Альтернативи!$B$3:$H$3</c:f>
              <c:numCache>
                <c:formatCode>"$"#\ ##0.00_);[Red]\("$"#\ ##0.00\)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9.5</c:v>
                </c:pt>
                <c:pt idx="5">
                  <c:v>10</c:v>
                </c:pt>
                <c:pt idx="6">
                  <c:v>11</c:v>
                </c:pt>
              </c:numCache>
            </c:numRef>
          </c:xVal>
          <c:yVal>
            <c:numRef>
              <c:f>Альтернативи!$B$20:$H$20</c:f>
              <c:numCache>
                <c:formatCode>"$"#\ ##0.0_);[Red]\("$"#\ ##0.0\)</c:formatCode>
                <c:ptCount val="7"/>
                <c:pt idx="0" formatCode="[$$-409]#\ ##0.00">
                  <c:v>-7.9199999999999875</c:v>
                </c:pt>
                <c:pt idx="1">
                  <c:v>11.400000000000006</c:v>
                </c:pt>
                <c:pt idx="2">
                  <c:v>22.72</c:v>
                </c:pt>
                <c:pt idx="3">
                  <c:v>26.040000000000006</c:v>
                </c:pt>
                <c:pt idx="4">
                  <c:v>24.700000000000003</c:v>
                </c:pt>
                <c:pt idx="5">
                  <c:v>21.36</c:v>
                </c:pt>
                <c:pt idx="6">
                  <c:v>8.68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CDD-124D-B330-61213DEE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406720"/>
        <c:axId val="1"/>
      </c:scatterChart>
      <c:valAx>
        <c:axId val="1246406720"/>
        <c:scaling>
          <c:orientation val="minMax"/>
          <c:max val="11"/>
          <c:min val="6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Ціна пирога</a:t>
                </a:r>
              </a:p>
            </c:rich>
          </c:tx>
          <c:layout>
            <c:manualLayout>
              <c:xMode val="edge"/>
              <c:yMode val="edge"/>
              <c:x val="0.29368027959013349"/>
              <c:y val="0.89901975978631432"/>
            </c:manualLayout>
          </c:layout>
          <c:overlay val="0"/>
          <c:spPr>
            <a:noFill/>
            <a:ln w="25400">
              <a:noFill/>
            </a:ln>
          </c:spPr>
        </c:title>
        <c:numFmt formatCode="[$$-409]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Тис. дол.</a:t>
                </a:r>
              </a:p>
            </c:rich>
          </c:tx>
          <c:layout>
            <c:manualLayout>
              <c:xMode val="edge"/>
              <c:yMode val="edge"/>
              <c:x val="2.2785538933717254E-2"/>
              <c:y val="0.36869911496854468"/>
            </c:manualLayout>
          </c:layout>
          <c:overlay val="0"/>
          <c:spPr>
            <a:noFill/>
            <a:ln w="25400">
              <a:noFill/>
            </a:ln>
          </c:spPr>
        </c:title>
        <c:numFmt formatCode="[$$-409]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2464067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559026978865552"/>
          <c:y val="0.11616547457913051"/>
          <c:w val="0.33925135745756801"/>
          <c:h val="0.727296884321512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en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A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rPr lang="ru-RU"/>
              <a:t>Прибуток</a:t>
            </a:r>
          </a:p>
        </c:rich>
      </c:tx>
      <c:layout>
        <c:manualLayout>
          <c:xMode val="edge"/>
          <c:yMode val="edge"/>
          <c:x val="0.41177791299027761"/>
          <c:y val="3.6867567513212643E-2"/>
        </c:manualLayout>
      </c:layout>
      <c:overlay val="0"/>
      <c:spPr>
        <a:noFill/>
        <a:ln w="25400">
          <a:noFill/>
        </a:ln>
      </c:spPr>
    </c:title>
    <c:autoTitleDeleted val="0"/>
    <c:view3D>
      <c:rotX val="19"/>
      <c:hPercent val="100"/>
      <c:rotY val="26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7647624842440471"/>
          <c:y val="6.4518243148122129E-2"/>
          <c:w val="0.55688060613923263"/>
          <c:h val="0.75578513402085923"/>
        </c:manualLayout>
      </c:layout>
      <c:surface3DChart>
        <c:wireframe val="0"/>
        <c:ser>
          <c:idx val="0"/>
          <c:order val="0"/>
          <c:tx>
            <c:strRef>
              <c:f>Графік_таблиці!$J$3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cat>
          <c:val>
            <c:numRef>
              <c:f>Графік_таблиці!$J$4:$J$16</c:f>
              <c:numCache>
                <c:formatCode>[$$-409]#\ ##0.00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72A9-664B-92DF-B2128769EBB3}"/>
            </c:ext>
          </c:extLst>
        </c:ser>
        <c:ser>
          <c:idx val="1"/>
          <c:order val="1"/>
          <c:tx>
            <c:strRef>
              <c:f>Графік_таблиці!$K$3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cat>
          <c:val>
            <c:numRef>
              <c:f>Графік_таблиці!$K$4:$K$16</c:f>
              <c:numCache>
                <c:formatCode>[$$-409]#\ ##0.00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72A9-664B-92DF-B2128769EBB3}"/>
            </c:ext>
          </c:extLst>
        </c:ser>
        <c:ser>
          <c:idx val="2"/>
          <c:order val="2"/>
          <c:tx>
            <c:strRef>
              <c:f>Графік_таблиці!$L$3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cat>
          <c:val>
            <c:numRef>
              <c:f>Графік_таблиці!$L$4:$L$16</c:f>
              <c:numCache>
                <c:formatCode>[$$-409]#\ ##0.00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72A9-664B-92DF-B2128769EBB3}"/>
            </c:ext>
          </c:extLst>
        </c:ser>
        <c:ser>
          <c:idx val="3"/>
          <c:order val="3"/>
          <c:tx>
            <c:strRef>
              <c:f>Графік_таблиці!$M$3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cat>
          <c:val>
            <c:numRef>
              <c:f>Графік_таблиці!$M$4:$M$16</c:f>
              <c:numCache>
                <c:formatCode>[$$-409]#\ ##0.00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72A9-664B-92DF-B2128769EBB3}"/>
            </c:ext>
          </c:extLst>
        </c:ser>
        <c:ser>
          <c:idx val="4"/>
          <c:order val="4"/>
          <c:tx>
            <c:strRef>
              <c:f>Графік_таблиці!$N$3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cat>
          <c:val>
            <c:numRef>
              <c:f>Графік_таблиці!$N$4:$N$16</c:f>
              <c:numCache>
                <c:formatCode>[$$-409]#\ ##0.00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4-72A9-664B-92DF-B2128769EBB3}"/>
            </c:ext>
          </c:extLst>
        </c:ser>
        <c:ser>
          <c:idx val="5"/>
          <c:order val="5"/>
          <c:tx>
            <c:strRef>
              <c:f>Графік_таблиці!$O$3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cat>
          <c:val>
            <c:numRef>
              <c:f>Графік_таблиці!$O$4:$O$16</c:f>
              <c:numCache>
                <c:formatCode>[$$-409]#\ ##0.00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5-72A9-664B-92DF-B2128769EBB3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9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1284662016"/>
        <c:axId val="1"/>
        <c:axId val="2"/>
      </c:surface3DChart>
      <c:catAx>
        <c:axId val="128466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Ціна яблучного пирога</a:t>
                </a:r>
              </a:p>
            </c:rich>
          </c:tx>
          <c:layout>
            <c:manualLayout>
              <c:xMode val="edge"/>
              <c:yMode val="edge"/>
              <c:x val="5.0982027322605802E-2"/>
              <c:y val="0.77882736371661709"/>
            </c:manualLayout>
          </c:layout>
          <c:overlay val="0"/>
          <c:spPr>
            <a:noFill/>
            <a:ln w="25400">
              <a:noFill/>
            </a:ln>
          </c:spPr>
        </c:title>
        <c:numFmt formatCode="[$$-409]#\ ##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Тис. дол.</a:t>
                </a:r>
              </a:p>
            </c:rich>
          </c:tx>
          <c:layout>
            <c:manualLayout>
              <c:xMode val="edge"/>
              <c:yMode val="edge"/>
              <c:x val="1.9608472047156076E-2"/>
              <c:y val="0.29954898604485275"/>
            </c:manualLayout>
          </c:layout>
          <c:overlay val="0"/>
          <c:spPr>
            <a:noFill/>
            <a:ln w="25400">
              <a:noFill/>
            </a:ln>
          </c:spPr>
        </c:title>
        <c:numFmt formatCode="[$$-409]#\ 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284662016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Виробнича потужність</a:t>
                </a:r>
              </a:p>
            </c:rich>
          </c:tx>
          <c:layout>
            <c:manualLayout>
              <c:xMode val="edge"/>
              <c:yMode val="edge"/>
              <c:x val="0.78826057629567436"/>
              <c:y val="0.645182431481221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"/>
        <c:crosses val="autoZero"/>
        <c:tickLblSkip val="2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04363220136216"/>
          <c:y val="5.5301351269818971E-2"/>
          <c:w val="0.23922335897530414"/>
          <c:h val="0.626748647724615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7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en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A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rPr lang="ru-RU"/>
              <a:t>Прибуток</a:t>
            </a:r>
          </a:p>
        </c:rich>
      </c:tx>
      <c:layout>
        <c:manualLayout>
          <c:xMode val="edge"/>
          <c:yMode val="edge"/>
          <c:x val="0.41155172153737724"/>
          <c:y val="3.66984883838541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3461091269807"/>
          <c:y val="0.11468277619954412"/>
          <c:w val="0.66155977667690546"/>
          <c:h val="0.724795145581118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Графік_таблиці!$J$3</c:f>
              <c:strCache>
                <c:ptCount val="1"/>
                <c:pt idx="0">
                  <c:v>25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xVal>
          <c:yVal>
            <c:numRef>
              <c:f>Графік_таблиці!$J$4:$J$16</c:f>
              <c:numCache>
                <c:formatCode>[$$-409]#\ ##0.00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9-8C49-B121-7FE55DF7319D}"/>
            </c:ext>
          </c:extLst>
        </c:ser>
        <c:ser>
          <c:idx val="1"/>
          <c:order val="1"/>
          <c:tx>
            <c:strRef>
              <c:f>Графік_таблиці!$K$3</c:f>
              <c:strCache>
                <c:ptCount val="1"/>
                <c:pt idx="0">
                  <c:v>26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xVal>
          <c:yVal>
            <c:numRef>
              <c:f>Графік_таблиці!$K$4:$K$16</c:f>
              <c:numCache>
                <c:formatCode>[$$-409]#\ ##0.00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29-8C49-B121-7FE55DF7319D}"/>
            </c:ext>
          </c:extLst>
        </c:ser>
        <c:ser>
          <c:idx val="2"/>
          <c:order val="2"/>
          <c:tx>
            <c:strRef>
              <c:f>Графік_таблиці!$L$3</c:f>
              <c:strCache>
                <c:ptCount val="1"/>
                <c:pt idx="0">
                  <c:v>27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xVal>
          <c:yVal>
            <c:numRef>
              <c:f>Графік_таблиці!$L$4:$L$16</c:f>
              <c:numCache>
                <c:formatCode>[$$-409]#\ ##0.00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29-8C49-B121-7FE55DF7319D}"/>
            </c:ext>
          </c:extLst>
        </c:ser>
        <c:ser>
          <c:idx val="3"/>
          <c:order val="3"/>
          <c:tx>
            <c:strRef>
              <c:f>Графік_таблиці!$M$3</c:f>
              <c:strCache>
                <c:ptCount val="1"/>
                <c:pt idx="0">
                  <c:v>28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xVal>
          <c:yVal>
            <c:numRef>
              <c:f>Графік_таблиці!$M$4:$M$16</c:f>
              <c:numCache>
                <c:formatCode>[$$-409]#\ ##0.00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29-8C49-B121-7FE55DF7319D}"/>
            </c:ext>
          </c:extLst>
        </c:ser>
        <c:ser>
          <c:idx val="4"/>
          <c:order val="4"/>
          <c:tx>
            <c:strRef>
              <c:f>Графік_таблиці!$N$3</c:f>
              <c:strCache>
                <c:ptCount val="1"/>
                <c:pt idx="0">
                  <c:v>29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xVal>
          <c:yVal>
            <c:numRef>
              <c:f>Графік_таблиці!$N$4:$N$16</c:f>
              <c:numCache>
                <c:formatCode>[$$-409]#\ ##0.00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29-8C49-B121-7FE55DF7319D}"/>
            </c:ext>
          </c:extLst>
        </c:ser>
        <c:ser>
          <c:idx val="5"/>
          <c:order val="5"/>
          <c:tx>
            <c:strRef>
              <c:f>Графік_таблиці!$O$3</c:f>
              <c:strCache>
                <c:ptCount val="1"/>
                <c:pt idx="0">
                  <c:v>30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Графік_таблиці!$I$4:$I$16</c:f>
              <c:numCache>
                <c:formatCode>[$$-409]#\ ##0.00</c:formatCode>
                <c:ptCount val="13"/>
                <c:pt idx="0">
                  <c:v>9.3000000000000007</c:v>
                </c:pt>
                <c:pt idx="1">
                  <c:v>9.35</c:v>
                </c:pt>
                <c:pt idx="2">
                  <c:v>9.4</c:v>
                </c:pt>
                <c:pt idx="3">
                  <c:v>9.4499999999999993</c:v>
                </c:pt>
                <c:pt idx="4">
                  <c:v>9.5</c:v>
                </c:pt>
                <c:pt idx="5">
                  <c:v>9.5500000000000007</c:v>
                </c:pt>
                <c:pt idx="6">
                  <c:v>9.6</c:v>
                </c:pt>
                <c:pt idx="7">
                  <c:v>9.65</c:v>
                </c:pt>
                <c:pt idx="8">
                  <c:v>9.6999999999999993</c:v>
                </c:pt>
                <c:pt idx="9">
                  <c:v>9.75</c:v>
                </c:pt>
                <c:pt idx="10">
                  <c:v>9.8000000000000007</c:v>
                </c:pt>
                <c:pt idx="11">
                  <c:v>9.85</c:v>
                </c:pt>
                <c:pt idx="12">
                  <c:v>9.9</c:v>
                </c:pt>
              </c:numCache>
            </c:numRef>
          </c:xVal>
          <c:yVal>
            <c:numRef>
              <c:f>Графік_таблиці!$O$4:$O$16</c:f>
              <c:numCache>
                <c:formatCode>[$$-409]#\ ##0.00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29-8C49-B121-7FE55DF7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342592"/>
        <c:axId val="1"/>
      </c:scatterChart>
      <c:valAx>
        <c:axId val="1288342592"/>
        <c:scaling>
          <c:orientation val="minMax"/>
          <c:max val="9.9"/>
          <c:min val="9.3000000000000007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Ціна яблучного пирога</a:t>
                </a:r>
              </a:p>
            </c:rich>
          </c:tx>
          <c:layout>
            <c:manualLayout>
              <c:xMode val="edge"/>
              <c:yMode val="edge"/>
              <c:x val="0.25385433291090559"/>
              <c:y val="0.91287489854837112"/>
            </c:manualLayout>
          </c:layout>
          <c:overlay val="0"/>
          <c:spPr>
            <a:noFill/>
            <a:ln w="25400">
              <a:noFill/>
            </a:ln>
          </c:spPr>
        </c:title>
        <c:numFmt formatCode="[$$-409]#\ 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85"/>
          <c:min val="7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Тис. дол.</a:t>
                </a:r>
              </a:p>
            </c:rich>
          </c:tx>
          <c:layout>
            <c:manualLayout>
              <c:xMode val="edge"/>
              <c:yMode val="edge"/>
              <c:x val="1.5385111085509429E-2"/>
              <c:y val="0.3669848838385411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A"/>
          </a:p>
        </c:txPr>
        <c:crossAx val="1288342592"/>
        <c:crosses val="autoZero"/>
        <c:crossBetween val="midCat"/>
        <c:maj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079599861750919"/>
          <c:y val="0.32569908440670525"/>
          <c:w val="0.13846599976958487"/>
          <c:h val="0.334873706502668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en-U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A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20</xdr:row>
      <xdr:rowOff>139700</xdr:rowOff>
    </xdr:from>
    <xdr:to>
      <xdr:col>8</xdr:col>
      <xdr:colOff>228600</xdr:colOff>
      <xdr:row>37</xdr:row>
      <xdr:rowOff>63500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EBC18A90-33F6-9FE5-3B68-ABB7D2921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292100</xdr:colOff>
      <xdr:row>2</xdr:row>
      <xdr:rowOff>101600</xdr:rowOff>
    </xdr:from>
    <xdr:to>
      <xdr:col>7</xdr:col>
      <xdr:colOff>495300</xdr:colOff>
      <xdr:row>14</xdr:row>
      <xdr:rowOff>50800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D91B6566-FD92-F903-C474-66271F9BB138}"/>
            </a:ext>
          </a:extLst>
        </xdr:cNvPr>
        <xdr:cNvSpPr txBox="1">
          <a:spLocks noChangeArrowheads="1"/>
        </xdr:cNvSpPr>
      </xdr:nvSpPr>
      <xdr:spPr bwMode="auto">
        <a:xfrm>
          <a:off x="6032500" y="419100"/>
          <a:ext cx="203200" cy="177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Ціна яблучного пирога</a:t>
          </a:r>
        </a:p>
      </xdr:txBody>
    </xdr:sp>
    <xdr:clientData/>
  </xdr:twoCellAnchor>
  <xdr:twoCellAnchor>
    <xdr:from>
      <xdr:col>15</xdr:col>
      <xdr:colOff>127000</xdr:colOff>
      <xdr:row>0</xdr:row>
      <xdr:rowOff>63500</xdr:rowOff>
    </xdr:from>
    <xdr:to>
      <xdr:col>21</xdr:col>
      <xdr:colOff>444500</xdr:colOff>
      <xdr:row>18</xdr:row>
      <xdr:rowOff>63500</xdr:rowOff>
    </xdr:to>
    <xdr:graphicFrame macro="">
      <xdr:nvGraphicFramePr>
        <xdr:cNvPr id="9218" name="Chart 2">
          <a:extLst>
            <a:ext uri="{FF2B5EF4-FFF2-40B4-BE49-F238E27FC236}">
              <a16:creationId xmlns:a16="http://schemas.microsoft.com/office/drawing/2014/main" id="{E9AE2C4F-B646-A806-C307-F6E62DF66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609600</xdr:colOff>
      <xdr:row>0</xdr:row>
      <xdr:rowOff>63500</xdr:rowOff>
    </xdr:from>
    <xdr:to>
      <xdr:col>27</xdr:col>
      <xdr:colOff>609600</xdr:colOff>
      <xdr:row>18</xdr:row>
      <xdr:rowOff>76200</xdr:rowOff>
    </xdr:to>
    <xdr:graphicFrame macro="">
      <xdr:nvGraphicFramePr>
        <xdr:cNvPr id="9219" name="Chart 3">
          <a:extLst>
            <a:ext uri="{FF2B5EF4-FFF2-40B4-BE49-F238E27FC236}">
              <a16:creationId xmlns:a16="http://schemas.microsoft.com/office/drawing/2014/main" id="{47CEA311-D1B4-3A3E-E38F-387444474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B574-DF1E-1C4D-A808-E2FCDF65E0DD}">
  <dimension ref="A1:Y72"/>
  <sheetViews>
    <sheetView zoomScale="296" workbookViewId="0">
      <selection activeCell="B1" sqref="B1"/>
    </sheetView>
  </sheetViews>
  <sheetFormatPr baseColWidth="10" defaultColWidth="9.19921875" defaultRowHeight="12"/>
  <cols>
    <col min="1" max="1" width="39.59765625" style="3" bestFit="1" customWidth="1"/>
    <col min="2" max="2" width="6.796875" style="26" customWidth="1"/>
    <col min="3" max="3" width="2.19921875" style="64" customWidth="1"/>
    <col min="4" max="4" width="7" style="3" bestFit="1" customWidth="1"/>
    <col min="5" max="6" width="6.796875" style="3" customWidth="1"/>
    <col min="7" max="8" width="7.19921875" style="3" customWidth="1"/>
    <col min="9" max="9" width="7.59765625" style="3" customWidth="1"/>
    <col min="10" max="10" width="7.19921875" style="3" customWidth="1"/>
    <col min="11" max="22" width="9.59765625" style="3" bestFit="1" customWidth="1"/>
    <col min="23" max="25" width="9.796875" style="3" customWidth="1"/>
    <col min="26" max="26" width="3" style="3" bestFit="1" customWidth="1"/>
    <col min="27" max="252" width="9.796875" style="3" customWidth="1"/>
    <col min="253" max="16384" width="9.19921875" style="3"/>
  </cols>
  <sheetData>
    <row r="1" spans="1:25">
      <c r="A1" s="1" t="s">
        <v>1</v>
      </c>
      <c r="B1" s="1"/>
      <c r="C1" s="2"/>
      <c r="D1" s="1"/>
      <c r="E1" s="1"/>
      <c r="F1" s="1"/>
      <c r="G1" s="1"/>
      <c r="H1" s="1"/>
    </row>
    <row r="2" spans="1:25">
      <c r="A2" s="4" t="s">
        <v>2</v>
      </c>
      <c r="B2" s="5"/>
      <c r="C2" s="5"/>
    </row>
    <row r="3" spans="1:25">
      <c r="A3" s="6" t="s">
        <v>3</v>
      </c>
      <c r="B3" s="7">
        <v>8</v>
      </c>
      <c r="C3" s="8"/>
      <c r="D3" s="7"/>
      <c r="E3" s="7"/>
      <c r="F3" s="7"/>
      <c r="G3" s="7"/>
      <c r="H3" s="7"/>
      <c r="I3" s="7"/>
      <c r="Y3" s="3">
        <v>31</v>
      </c>
    </row>
    <row r="4" spans="1:25" ht="11.5" customHeight="1">
      <c r="A4" s="9" t="s">
        <v>4</v>
      </c>
      <c r="B4" s="10">
        <v>16</v>
      </c>
      <c r="C4" s="11"/>
      <c r="D4" s="7"/>
      <c r="E4" s="7"/>
      <c r="F4" s="7"/>
      <c r="G4" s="7"/>
      <c r="H4" s="7"/>
      <c r="I4" s="7"/>
    </row>
    <row r="5" spans="1:25" s="15" customFormat="1">
      <c r="A5" s="12"/>
      <c r="B5" s="13" t="s">
        <v>0</v>
      </c>
      <c r="C5" s="13"/>
      <c r="D5" s="14"/>
      <c r="E5" s="14"/>
      <c r="F5" s="14"/>
      <c r="G5" s="14"/>
      <c r="H5" s="14"/>
      <c r="I5" s="14"/>
    </row>
    <row r="6" spans="1:25">
      <c r="A6" s="4" t="s">
        <v>5</v>
      </c>
      <c r="B6" s="8"/>
      <c r="C6" s="8"/>
      <c r="D6" s="7"/>
      <c r="E6" s="7"/>
      <c r="F6" s="7"/>
      <c r="G6" s="7"/>
      <c r="H6" s="7"/>
      <c r="I6" s="7"/>
    </row>
    <row r="7" spans="1:25">
      <c r="A7" s="16" t="s">
        <v>6</v>
      </c>
      <c r="B7" s="7">
        <v>2.0499999999999998</v>
      </c>
      <c r="C7" s="8"/>
      <c r="D7" s="7"/>
      <c r="E7" s="7"/>
      <c r="F7" s="7"/>
      <c r="G7" s="7"/>
      <c r="H7" s="7"/>
      <c r="I7" s="7"/>
    </row>
    <row r="8" spans="1:25">
      <c r="A8" s="16" t="s">
        <v>7</v>
      </c>
      <c r="B8" s="7">
        <v>3.48</v>
      </c>
      <c r="C8" s="8"/>
      <c r="D8" s="7"/>
      <c r="E8" s="7"/>
      <c r="F8" s="7"/>
      <c r="G8" s="7"/>
      <c r="H8" s="7"/>
      <c r="I8" s="7"/>
    </row>
    <row r="9" spans="1:25">
      <c r="A9" s="16" t="s">
        <v>8</v>
      </c>
      <c r="B9" s="17">
        <v>0.3</v>
      </c>
      <c r="C9" s="18"/>
      <c r="D9" s="19"/>
      <c r="E9" s="19"/>
      <c r="F9" s="19"/>
      <c r="G9" s="19"/>
      <c r="H9" s="19"/>
      <c r="I9" s="19"/>
    </row>
    <row r="10" spans="1:25">
      <c r="A10" s="20" t="s">
        <v>9</v>
      </c>
      <c r="B10" s="19">
        <v>12</v>
      </c>
      <c r="C10" s="18"/>
      <c r="D10" s="19"/>
      <c r="E10" s="19"/>
      <c r="F10" s="19"/>
      <c r="G10" s="19"/>
      <c r="H10" s="19"/>
      <c r="I10" s="19"/>
    </row>
    <row r="11" spans="1:25">
      <c r="A11" s="21"/>
      <c r="B11" s="18"/>
      <c r="C11" s="18"/>
      <c r="D11" s="19"/>
      <c r="E11" s="19"/>
      <c r="F11" s="19"/>
      <c r="G11" s="19"/>
      <c r="H11" s="19"/>
      <c r="I11" s="19"/>
    </row>
    <row r="12" spans="1:25">
      <c r="A12" s="4" t="s">
        <v>10</v>
      </c>
      <c r="B12" s="18"/>
      <c r="C12" s="18"/>
      <c r="D12" s="19"/>
      <c r="E12" s="19"/>
      <c r="F12" s="19"/>
      <c r="G12" s="19"/>
      <c r="H12" s="19"/>
      <c r="I12" s="19"/>
    </row>
    <row r="13" spans="1:25">
      <c r="A13" s="6" t="s">
        <v>11</v>
      </c>
      <c r="B13" s="19">
        <f>B4*B3</f>
        <v>128</v>
      </c>
      <c r="C13" s="18"/>
      <c r="D13" s="19"/>
      <c r="E13" s="19"/>
      <c r="F13" s="19"/>
      <c r="G13" s="19"/>
      <c r="H13" s="19"/>
      <c r="I13" s="19"/>
    </row>
    <row r="14" spans="1:25">
      <c r="A14" s="22" t="s">
        <v>12</v>
      </c>
      <c r="B14" s="19">
        <f>B7*B4</f>
        <v>32.799999999999997</v>
      </c>
      <c r="C14" s="18"/>
      <c r="D14" s="19"/>
      <c r="E14" s="19"/>
      <c r="F14" s="19"/>
      <c r="G14" s="19"/>
      <c r="H14" s="19"/>
      <c r="I14" s="19"/>
    </row>
    <row r="15" spans="1:25">
      <c r="A15" s="22" t="s">
        <v>13</v>
      </c>
      <c r="B15" s="19">
        <f>(B8+B9)*B4</f>
        <v>60.48</v>
      </c>
      <c r="C15" s="18"/>
      <c r="D15" s="19"/>
      <c r="E15" s="19"/>
      <c r="F15" s="19"/>
      <c r="G15" s="19"/>
      <c r="H15" s="19"/>
      <c r="I15" s="19"/>
    </row>
    <row r="16" spans="1:25">
      <c r="A16" s="22" t="s">
        <v>14</v>
      </c>
      <c r="B16" s="23">
        <f>B10</f>
        <v>12</v>
      </c>
      <c r="C16" s="18"/>
      <c r="D16" s="19"/>
      <c r="E16" s="19"/>
      <c r="F16" s="19"/>
      <c r="G16" s="19"/>
      <c r="H16" s="19"/>
      <c r="I16" s="19"/>
    </row>
    <row r="17" spans="1:9">
      <c r="A17" s="6" t="s">
        <v>15</v>
      </c>
      <c r="B17" s="19">
        <f>SUM(B14:B16)</f>
        <v>105.28</v>
      </c>
      <c r="C17" s="18"/>
      <c r="D17" s="19"/>
      <c r="E17" s="19"/>
      <c r="F17" s="19"/>
      <c r="G17" s="19"/>
      <c r="H17" s="19"/>
      <c r="I17" s="19"/>
    </row>
    <row r="18" spans="1:9">
      <c r="A18" s="6" t="s">
        <v>16</v>
      </c>
      <c r="B18" s="19">
        <f>B13-B17</f>
        <v>22.72</v>
      </c>
      <c r="C18" s="18"/>
      <c r="D18" s="19"/>
      <c r="E18" s="19"/>
      <c r="F18" s="19"/>
      <c r="G18" s="19"/>
      <c r="H18" s="19"/>
      <c r="I18" s="19"/>
    </row>
    <row r="19" spans="1:9">
      <c r="A19" s="21"/>
      <c r="B19" s="18"/>
      <c r="C19" s="18"/>
      <c r="D19" s="19"/>
      <c r="E19" s="19"/>
      <c r="F19" s="19"/>
      <c r="G19" s="19"/>
      <c r="H19" s="19"/>
      <c r="I19" s="19"/>
    </row>
    <row r="20" spans="1:9">
      <c r="B20" s="24"/>
      <c r="C20" s="62"/>
    </row>
    <row r="21" spans="1:9">
      <c r="A21" s="25"/>
      <c r="B21" s="25"/>
      <c r="C21" s="63"/>
    </row>
    <row r="22" spans="1:9">
      <c r="A22" s="25"/>
      <c r="B22" s="25"/>
      <c r="C22" s="63"/>
    </row>
    <row r="23" spans="1:9">
      <c r="A23" s="25"/>
      <c r="B23" s="25"/>
      <c r="C23" s="63"/>
    </row>
    <row r="24" spans="1:9">
      <c r="A24" s="25"/>
      <c r="B24" s="25"/>
      <c r="C24" s="63"/>
    </row>
    <row r="25" spans="1:9">
      <c r="A25" s="25"/>
      <c r="B25" s="25"/>
      <c r="C25" s="63"/>
    </row>
    <row r="26" spans="1:9">
      <c r="A26" s="25"/>
      <c r="B26" s="25"/>
      <c r="C26" s="63"/>
    </row>
    <row r="27" spans="1:9">
      <c r="A27" s="25"/>
      <c r="B27" s="25"/>
      <c r="C27" s="63"/>
    </row>
    <row r="28" spans="1:9">
      <c r="A28" s="25"/>
      <c r="B28" s="25"/>
      <c r="C28" s="63"/>
      <c r="E28" s="25"/>
      <c r="F28" s="25"/>
    </row>
    <row r="29" spans="1:9">
      <c r="A29" s="25"/>
      <c r="B29" s="25"/>
      <c r="C29" s="63"/>
      <c r="E29" s="25"/>
      <c r="F29" s="25"/>
    </row>
    <row r="30" spans="1:9">
      <c r="A30" s="25"/>
      <c r="B30" s="25"/>
      <c r="C30" s="63"/>
      <c r="E30" s="25"/>
      <c r="F30" s="25"/>
    </row>
    <row r="31" spans="1:9">
      <c r="A31" s="25"/>
      <c r="B31" s="25"/>
      <c r="C31" s="63"/>
      <c r="E31" s="25"/>
      <c r="F31" s="25"/>
    </row>
    <row r="32" spans="1:9">
      <c r="A32" s="25"/>
      <c r="B32" s="25"/>
      <c r="C32" s="63"/>
      <c r="E32" s="25"/>
      <c r="F32" s="25"/>
    </row>
    <row r="33" spans="1:6">
      <c r="A33" s="25"/>
      <c r="B33" s="25"/>
      <c r="C33" s="63"/>
      <c r="E33" s="25"/>
      <c r="F33" s="25"/>
    </row>
    <row r="34" spans="1:6">
      <c r="A34" s="25"/>
      <c r="B34" s="25"/>
      <c r="C34" s="63"/>
      <c r="E34" s="25"/>
      <c r="F34" s="25"/>
    </row>
    <row r="35" spans="1:6">
      <c r="A35" s="25"/>
      <c r="B35" s="25"/>
      <c r="C35" s="63"/>
      <c r="E35" s="25"/>
      <c r="F35" s="25"/>
    </row>
    <row r="36" spans="1:6">
      <c r="A36" s="25"/>
      <c r="B36" s="25"/>
      <c r="C36" s="63"/>
      <c r="E36" s="25"/>
      <c r="F36" s="25"/>
    </row>
    <row r="37" spans="1:6">
      <c r="A37" s="25"/>
      <c r="B37" s="25"/>
      <c r="C37" s="63"/>
      <c r="E37" s="25"/>
      <c r="F37" s="25"/>
    </row>
    <row r="38" spans="1:6">
      <c r="A38" s="25"/>
      <c r="B38" s="25"/>
      <c r="C38" s="63"/>
      <c r="E38" s="25"/>
      <c r="F38" s="25"/>
    </row>
    <row r="39" spans="1:6">
      <c r="A39" s="25"/>
      <c r="B39" s="25"/>
      <c r="C39" s="63"/>
      <c r="E39" s="25"/>
      <c r="F39" s="25"/>
    </row>
    <row r="40" spans="1:6">
      <c r="A40" s="25"/>
      <c r="B40" s="25"/>
      <c r="C40" s="63"/>
      <c r="E40" s="25"/>
      <c r="F40" s="25"/>
    </row>
    <row r="41" spans="1:6">
      <c r="A41" s="25"/>
      <c r="B41" s="25"/>
      <c r="C41" s="63"/>
      <c r="E41" s="25"/>
      <c r="F41" s="25"/>
    </row>
    <row r="42" spans="1:6">
      <c r="A42" s="25"/>
      <c r="B42" s="25"/>
      <c r="C42" s="63"/>
      <c r="E42" s="25"/>
      <c r="F42" s="25"/>
    </row>
    <row r="43" spans="1:6">
      <c r="A43" s="25"/>
      <c r="B43" s="25"/>
      <c r="C43" s="63"/>
      <c r="E43" s="25"/>
      <c r="F43" s="25"/>
    </row>
    <row r="44" spans="1:6">
      <c r="A44" s="25"/>
      <c r="B44" s="25"/>
      <c r="C44" s="63"/>
      <c r="E44" s="25"/>
      <c r="F44" s="25"/>
    </row>
    <row r="45" spans="1:6">
      <c r="A45" s="25"/>
      <c r="B45" s="25"/>
      <c r="C45" s="63"/>
      <c r="E45" s="25"/>
      <c r="F45" s="25"/>
    </row>
    <row r="46" spans="1:6">
      <c r="A46" s="25"/>
      <c r="B46" s="25"/>
      <c r="C46" s="63"/>
      <c r="E46" s="25"/>
      <c r="F46" s="25"/>
    </row>
    <row r="47" spans="1:6">
      <c r="A47" s="25"/>
      <c r="B47" s="25"/>
      <c r="C47" s="63"/>
      <c r="E47" s="25"/>
      <c r="F47" s="25"/>
    </row>
    <row r="48" spans="1:6">
      <c r="E48" s="25"/>
      <c r="F48" s="25"/>
    </row>
    <row r="49" spans="5:6">
      <c r="E49" s="25"/>
      <c r="F49" s="25"/>
    </row>
    <row r="50" spans="5:6">
      <c r="E50" s="25"/>
      <c r="F50" s="25"/>
    </row>
    <row r="51" spans="5:6">
      <c r="E51" s="25"/>
      <c r="F51" s="25"/>
    </row>
    <row r="52" spans="5:6">
      <c r="E52" s="25"/>
      <c r="F52" s="25"/>
    </row>
    <row r="53" spans="5:6">
      <c r="E53" s="25"/>
      <c r="F53" s="25"/>
    </row>
    <row r="54" spans="5:6">
      <c r="E54" s="25"/>
      <c r="F54" s="25"/>
    </row>
    <row r="55" spans="5:6">
      <c r="E55" s="25"/>
      <c r="F55" s="25"/>
    </row>
    <row r="56" spans="5:6">
      <c r="E56" s="25"/>
      <c r="F56" s="25"/>
    </row>
    <row r="57" spans="5:6">
      <c r="E57" s="25"/>
      <c r="F57" s="25"/>
    </row>
    <row r="58" spans="5:6">
      <c r="E58" s="25"/>
      <c r="F58" s="25"/>
    </row>
    <row r="59" spans="5:6">
      <c r="E59" s="25"/>
      <c r="F59" s="25"/>
    </row>
    <row r="60" spans="5:6">
      <c r="E60" s="25"/>
      <c r="F60" s="25"/>
    </row>
    <row r="61" spans="5:6">
      <c r="E61" s="25"/>
      <c r="F61" s="25"/>
    </row>
    <row r="62" spans="5:6">
      <c r="E62" s="25"/>
      <c r="F62" s="25"/>
    </row>
    <row r="63" spans="5:6">
      <c r="E63" s="25"/>
      <c r="F63" s="25"/>
    </row>
    <row r="64" spans="5:6">
      <c r="E64" s="25"/>
      <c r="F64" s="25"/>
    </row>
    <row r="65" spans="5:6">
      <c r="E65" s="25"/>
      <c r="F65" s="25"/>
    </row>
    <row r="66" spans="5:6">
      <c r="E66" s="25"/>
      <c r="F66" s="25"/>
    </row>
    <row r="67" spans="5:6">
      <c r="E67" s="25"/>
      <c r="F67" s="25"/>
    </row>
    <row r="68" spans="5:6">
      <c r="E68" s="25"/>
      <c r="F68" s="25"/>
    </row>
    <row r="69" spans="5:6">
      <c r="E69" s="25"/>
      <c r="F69" s="25"/>
    </row>
    <row r="70" spans="5:6">
      <c r="E70" s="25"/>
      <c r="F70" s="25"/>
    </row>
    <row r="71" spans="5:6">
      <c r="E71" s="25"/>
      <c r="F71" s="25"/>
    </row>
    <row r="72" spans="5:6">
      <c r="E72" s="25"/>
      <c r="F72" s="25"/>
    </row>
  </sheetData>
  <phoneticPr fontId="0" type="noConversion"/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3A9B-5321-FF4D-9AF4-2D96C0B3D0AE}">
  <dimension ref="A1:Q69"/>
  <sheetViews>
    <sheetView zoomScale="284" workbookViewId="0">
      <selection activeCell="F10" sqref="F10"/>
    </sheetView>
  </sheetViews>
  <sheetFormatPr baseColWidth="10" defaultColWidth="9.19921875" defaultRowHeight="12"/>
  <cols>
    <col min="1" max="1" width="30.19921875" style="3" customWidth="1"/>
    <col min="2" max="2" width="6.19921875" style="26" customWidth="1"/>
    <col min="3" max="14" width="9.59765625" style="3" bestFit="1" customWidth="1"/>
    <col min="15" max="17" width="9.796875" style="3" customWidth="1"/>
    <col min="18" max="18" width="3" style="3" bestFit="1" customWidth="1"/>
    <col min="19" max="244" width="9.796875" style="3" customWidth="1"/>
    <col min="245" max="16384" width="9.19921875" style="3"/>
  </cols>
  <sheetData>
    <row r="1" spans="1:17">
      <c r="A1" s="1" t="s">
        <v>1</v>
      </c>
      <c r="B1" s="1"/>
    </row>
    <row r="2" spans="1:17">
      <c r="A2" s="4" t="s">
        <v>2</v>
      </c>
      <c r="B2" s="5"/>
    </row>
    <row r="3" spans="1:17">
      <c r="A3" s="6" t="s">
        <v>3</v>
      </c>
      <c r="B3" s="7">
        <v>8</v>
      </c>
      <c r="Q3" s="3">
        <v>31</v>
      </c>
    </row>
    <row r="4" spans="1:17">
      <c r="A4" s="4" t="s">
        <v>5</v>
      </c>
      <c r="B4" s="8"/>
    </row>
    <row r="5" spans="1:17">
      <c r="A5" s="16" t="s">
        <v>6</v>
      </c>
      <c r="B5" s="7">
        <v>2.0499999999999998</v>
      </c>
    </row>
    <row r="6" spans="1:17">
      <c r="A6" s="16" t="s">
        <v>7</v>
      </c>
      <c r="B6" s="7">
        <v>3.48</v>
      </c>
    </row>
    <row r="7" spans="1:17">
      <c r="A7" s="16" t="s">
        <v>8</v>
      </c>
      <c r="B7" s="17">
        <v>0.3</v>
      </c>
    </row>
    <row r="8" spans="1:17">
      <c r="A8" s="20" t="s">
        <v>9</v>
      </c>
      <c r="B8" s="19">
        <v>12</v>
      </c>
    </row>
    <row r="9" spans="1:17">
      <c r="A9" s="29" t="s">
        <v>21</v>
      </c>
      <c r="B9" s="18"/>
    </row>
    <row r="10" spans="1:17">
      <c r="A10" s="30" t="s">
        <v>17</v>
      </c>
      <c r="B10" s="10">
        <v>48</v>
      </c>
    </row>
    <row r="11" spans="1:17">
      <c r="A11" s="30" t="s">
        <v>18</v>
      </c>
      <c r="B11" s="10">
        <v>-4</v>
      </c>
    </row>
    <row r="12" spans="1:17">
      <c r="A12" s="4" t="s">
        <v>19</v>
      </c>
      <c r="B12" s="18"/>
    </row>
    <row r="13" spans="1:17">
      <c r="A13" s="22" t="s">
        <v>20</v>
      </c>
      <c r="B13" s="31">
        <f>B10+B11*B3</f>
        <v>16</v>
      </c>
    </row>
    <row r="14" spans="1:17">
      <c r="A14" s="4" t="s">
        <v>10</v>
      </c>
      <c r="B14" s="18"/>
    </row>
    <row r="15" spans="1:17">
      <c r="A15" s="6" t="s">
        <v>11</v>
      </c>
      <c r="B15" s="19">
        <f>B13*B3</f>
        <v>128</v>
      </c>
    </row>
    <row r="16" spans="1:17">
      <c r="A16" s="22" t="s">
        <v>12</v>
      </c>
      <c r="B16" s="19">
        <f>B5*B13</f>
        <v>32.799999999999997</v>
      </c>
    </row>
    <row r="17" spans="1:2">
      <c r="A17" s="22" t="s">
        <v>13</v>
      </c>
      <c r="B17" s="19">
        <f>(B6+B7)*B13</f>
        <v>60.48</v>
      </c>
    </row>
    <row r="18" spans="1:2">
      <c r="A18" s="22" t="s">
        <v>14</v>
      </c>
      <c r="B18" s="23">
        <f>B8</f>
        <v>12</v>
      </c>
    </row>
    <row r="19" spans="1:2">
      <c r="A19" s="6" t="s">
        <v>15</v>
      </c>
      <c r="B19" s="19">
        <f>SUM(B16:B18)</f>
        <v>105.28</v>
      </c>
    </row>
    <row r="20" spans="1:2">
      <c r="A20" s="6" t="s">
        <v>16</v>
      </c>
      <c r="B20" s="39">
        <f>B15-B19</f>
        <v>22.72</v>
      </c>
    </row>
    <row r="21" spans="1:2">
      <c r="A21" s="21"/>
      <c r="B21" s="18"/>
    </row>
    <row r="22" spans="1:2">
      <c r="A22" s="22"/>
      <c r="B22" s="19"/>
    </row>
    <row r="23" spans="1:2">
      <c r="A23" s="22"/>
      <c r="B23" s="19"/>
    </row>
    <row r="24" spans="1:2">
      <c r="A24" s="22"/>
      <c r="B24" s="19"/>
    </row>
    <row r="25" spans="1:2">
      <c r="A25" s="22"/>
      <c r="B25" s="7"/>
    </row>
    <row r="26" spans="1:2">
      <c r="A26" s="33"/>
      <c r="B26" s="34"/>
    </row>
    <row r="27" spans="1:2">
      <c r="A27" s="33"/>
      <c r="B27" s="34"/>
    </row>
    <row r="28" spans="1:2">
      <c r="A28" s="16"/>
      <c r="B28" s="19"/>
    </row>
    <row r="29" spans="1:2">
      <c r="A29" s="33"/>
      <c r="B29" s="34"/>
    </row>
    <row r="30" spans="1:2">
      <c r="A30" s="33"/>
      <c r="B30" s="34"/>
    </row>
    <row r="31" spans="1:2">
      <c r="A31" s="35"/>
    </row>
    <row r="32" spans="1:2">
      <c r="A32" s="6"/>
      <c r="B32" s="36"/>
    </row>
    <row r="33" spans="1:2">
      <c r="A33" s="35"/>
    </row>
    <row r="34" spans="1:2">
      <c r="A34" s="6"/>
      <c r="B34" s="37"/>
    </row>
    <row r="35" spans="1:2">
      <c r="A35" s="16"/>
      <c r="B35" s="37"/>
    </row>
    <row r="36" spans="1:2">
      <c r="A36" s="16"/>
      <c r="B36" s="37"/>
    </row>
    <row r="37" spans="1:2">
      <c r="A37" s="16"/>
      <c r="B37" s="38"/>
    </row>
    <row r="38" spans="1:2">
      <c r="A38" s="6"/>
      <c r="B38" s="38"/>
    </row>
    <row r="39" spans="1:2">
      <c r="A39" s="6"/>
      <c r="B39" s="37"/>
    </row>
    <row r="42" spans="1:2">
      <c r="B42" s="24"/>
    </row>
    <row r="43" spans="1:2">
      <c r="A43" s="25"/>
      <c r="B43" s="25"/>
    </row>
    <row r="44" spans="1:2">
      <c r="A44" s="25"/>
      <c r="B44" s="25"/>
    </row>
    <row r="45" spans="1:2">
      <c r="A45" s="25"/>
      <c r="B45" s="25"/>
    </row>
    <row r="46" spans="1:2">
      <c r="A46" s="25"/>
      <c r="B46" s="25"/>
    </row>
    <row r="47" spans="1:2">
      <c r="A47" s="25"/>
      <c r="B47" s="25"/>
    </row>
    <row r="48" spans="1:2">
      <c r="A48" s="25"/>
      <c r="B48" s="25"/>
    </row>
    <row r="49" spans="1:2">
      <c r="A49" s="25"/>
      <c r="B49" s="25"/>
    </row>
    <row r="50" spans="1:2">
      <c r="A50" s="25"/>
      <c r="B50" s="25"/>
    </row>
    <row r="51" spans="1:2">
      <c r="A51" s="25"/>
      <c r="B51" s="25"/>
    </row>
    <row r="52" spans="1:2">
      <c r="A52" s="25"/>
      <c r="B52" s="25"/>
    </row>
    <row r="53" spans="1:2">
      <c r="A53" s="25"/>
      <c r="B53" s="25"/>
    </row>
    <row r="54" spans="1:2">
      <c r="A54" s="25"/>
      <c r="B54" s="25"/>
    </row>
    <row r="55" spans="1:2">
      <c r="A55" s="25"/>
      <c r="B55" s="25"/>
    </row>
    <row r="56" spans="1:2">
      <c r="A56" s="25"/>
      <c r="B56" s="25"/>
    </row>
    <row r="57" spans="1:2">
      <c r="A57" s="25"/>
      <c r="B57" s="25"/>
    </row>
    <row r="58" spans="1:2">
      <c r="A58" s="25"/>
      <c r="B58" s="25"/>
    </row>
    <row r="59" spans="1:2">
      <c r="A59" s="25"/>
      <c r="B59" s="25"/>
    </row>
    <row r="60" spans="1:2">
      <c r="A60" s="25"/>
      <c r="B60" s="25"/>
    </row>
    <row r="61" spans="1:2">
      <c r="A61" s="25"/>
      <c r="B61" s="25"/>
    </row>
    <row r="62" spans="1:2">
      <c r="A62" s="25"/>
      <c r="B62" s="25"/>
    </row>
    <row r="63" spans="1:2">
      <c r="A63" s="25"/>
      <c r="B63" s="25"/>
    </row>
    <row r="64" spans="1:2">
      <c r="A64" s="25"/>
      <c r="B64" s="25"/>
    </row>
    <row r="65" spans="1:2">
      <c r="A65" s="25"/>
      <c r="B65" s="25"/>
    </row>
    <row r="66" spans="1:2">
      <c r="A66" s="25"/>
      <c r="B66" s="25"/>
    </row>
    <row r="67" spans="1:2">
      <c r="A67" s="25"/>
      <c r="B67" s="25"/>
    </row>
    <row r="68" spans="1:2">
      <c r="A68" s="25"/>
      <c r="B68" s="25"/>
    </row>
    <row r="69" spans="1:2">
      <c r="A69" s="25"/>
      <c r="B69" s="25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B25F-0B4C-9541-8321-9052A225BF0F}">
  <dimension ref="A1:X94"/>
  <sheetViews>
    <sheetView zoomScale="229" workbookViewId="0">
      <selection activeCell="E13" sqref="E13"/>
    </sheetView>
  </sheetViews>
  <sheetFormatPr baseColWidth="10" defaultColWidth="9.19921875" defaultRowHeight="12"/>
  <cols>
    <col min="1" max="1" width="30.19921875" style="3" customWidth="1"/>
    <col min="2" max="2" width="6.19921875" style="26" customWidth="1"/>
    <col min="3" max="3" width="6.59765625" style="3" bestFit="1" customWidth="1"/>
    <col min="4" max="5" width="6.796875" style="3" customWidth="1"/>
    <col min="6" max="7" width="7.19921875" style="3" customWidth="1"/>
    <col min="8" max="8" width="7.59765625" style="3" customWidth="1"/>
    <col min="9" max="9" width="4" style="3" customWidth="1"/>
    <col min="10" max="21" width="9.59765625" style="3" bestFit="1" customWidth="1"/>
    <col min="22" max="24" width="9.796875" style="3" customWidth="1"/>
    <col min="25" max="25" width="3" style="3" bestFit="1" customWidth="1"/>
    <col min="26" max="251" width="9.796875" style="3" customWidth="1"/>
    <col min="252" max="16384" width="9.19921875" style="3"/>
  </cols>
  <sheetData>
    <row r="1" spans="1:24">
      <c r="A1" s="1" t="s">
        <v>1</v>
      </c>
      <c r="B1" s="1"/>
      <c r="C1" s="27"/>
      <c r="D1" s="27"/>
      <c r="E1" s="27"/>
      <c r="F1" s="27"/>
      <c r="G1" s="27"/>
      <c r="H1" s="28"/>
      <c r="I1" s="28"/>
    </row>
    <row r="2" spans="1:24">
      <c r="A2" s="4" t="s">
        <v>2</v>
      </c>
      <c r="B2" s="5"/>
      <c r="C2" s="28"/>
      <c r="D2" s="28"/>
      <c r="E2" s="28"/>
      <c r="F2" s="28"/>
      <c r="G2" s="28"/>
      <c r="H2" s="28"/>
      <c r="I2" s="28"/>
    </row>
    <row r="3" spans="1:24">
      <c r="A3" s="6" t="s">
        <v>3</v>
      </c>
      <c r="B3" s="7">
        <v>6</v>
      </c>
      <c r="C3" s="7">
        <v>7</v>
      </c>
      <c r="D3" s="7">
        <v>8</v>
      </c>
      <c r="E3" s="7">
        <v>9</v>
      </c>
      <c r="F3" s="7">
        <v>9.5</v>
      </c>
      <c r="G3" s="7">
        <v>10</v>
      </c>
      <c r="H3" s="7">
        <v>11</v>
      </c>
      <c r="I3" s="28"/>
      <c r="X3" s="3">
        <v>31</v>
      </c>
    </row>
    <row r="4" spans="1:24">
      <c r="A4" s="4" t="s">
        <v>5</v>
      </c>
      <c r="B4" s="8"/>
      <c r="C4" s="8"/>
      <c r="D4" s="8"/>
      <c r="E4" s="8"/>
      <c r="F4" s="8"/>
      <c r="G4" s="8"/>
      <c r="H4" s="8"/>
      <c r="I4" s="28"/>
    </row>
    <row r="5" spans="1:24">
      <c r="A5" s="16" t="s">
        <v>6</v>
      </c>
      <c r="B5" s="7">
        <v>2.0499999999999998</v>
      </c>
      <c r="C5" s="7">
        <v>2.0499999999999998</v>
      </c>
      <c r="D5" s="7">
        <v>2.0499999999999998</v>
      </c>
      <c r="E5" s="7">
        <v>2.0499999999999998</v>
      </c>
      <c r="F5" s="7">
        <v>2.0499999999999998</v>
      </c>
      <c r="G5" s="7">
        <v>2.0499999999999998</v>
      </c>
      <c r="H5" s="7">
        <v>2.0499999999999998</v>
      </c>
      <c r="I5" s="28"/>
    </row>
    <row r="6" spans="1:24">
      <c r="A6" s="16" t="s">
        <v>7</v>
      </c>
      <c r="B6" s="7">
        <v>3.48</v>
      </c>
      <c r="C6" s="7">
        <v>3.48</v>
      </c>
      <c r="D6" s="7">
        <v>3.48</v>
      </c>
      <c r="E6" s="7">
        <v>3.48</v>
      </c>
      <c r="F6" s="7">
        <v>3.48</v>
      </c>
      <c r="G6" s="7">
        <v>3.48</v>
      </c>
      <c r="H6" s="7">
        <v>3.48</v>
      </c>
      <c r="I6" s="28"/>
    </row>
    <row r="7" spans="1:24">
      <c r="A7" s="16" t="s">
        <v>8</v>
      </c>
      <c r="B7" s="17">
        <v>0.3</v>
      </c>
      <c r="C7" s="17">
        <v>0.3</v>
      </c>
      <c r="D7" s="17">
        <v>0.3</v>
      </c>
      <c r="E7" s="17">
        <v>0.3</v>
      </c>
      <c r="F7" s="17">
        <v>0.3</v>
      </c>
      <c r="G7" s="17">
        <v>0.3</v>
      </c>
      <c r="H7" s="17">
        <v>0.3</v>
      </c>
      <c r="I7" s="28"/>
    </row>
    <row r="8" spans="1:24">
      <c r="A8" s="20" t="s">
        <v>9</v>
      </c>
      <c r="B8" s="19">
        <v>12</v>
      </c>
      <c r="C8" s="19">
        <v>12</v>
      </c>
      <c r="D8" s="19">
        <v>12</v>
      </c>
      <c r="E8" s="19">
        <v>12</v>
      </c>
      <c r="F8" s="19">
        <v>12</v>
      </c>
      <c r="G8" s="19">
        <v>12</v>
      </c>
      <c r="H8" s="19">
        <v>12</v>
      </c>
      <c r="I8" s="28"/>
    </row>
    <row r="9" spans="1:24">
      <c r="A9" s="29" t="s">
        <v>21</v>
      </c>
      <c r="B9" s="18"/>
      <c r="C9" s="18"/>
      <c r="D9" s="18"/>
      <c r="E9" s="18"/>
      <c r="F9" s="18"/>
      <c r="G9" s="18"/>
      <c r="H9" s="18"/>
      <c r="I9" s="28"/>
    </row>
    <row r="10" spans="1:24">
      <c r="A10" s="30" t="s">
        <v>17</v>
      </c>
      <c r="B10" s="10">
        <v>48</v>
      </c>
      <c r="C10" s="10">
        <v>48</v>
      </c>
      <c r="D10" s="10">
        <v>48</v>
      </c>
      <c r="E10" s="10">
        <v>48</v>
      </c>
      <c r="F10" s="10">
        <v>48</v>
      </c>
      <c r="G10" s="10">
        <v>48</v>
      </c>
      <c r="H10" s="10">
        <v>48</v>
      </c>
      <c r="I10" s="28"/>
    </row>
    <row r="11" spans="1:24">
      <c r="A11" s="30" t="s">
        <v>18</v>
      </c>
      <c r="B11" s="10">
        <v>-4</v>
      </c>
      <c r="C11" s="10">
        <v>-4</v>
      </c>
      <c r="D11" s="10">
        <v>-4</v>
      </c>
      <c r="E11" s="10">
        <v>-4</v>
      </c>
      <c r="F11" s="10">
        <v>-4</v>
      </c>
      <c r="G11" s="10">
        <v>-4</v>
      </c>
      <c r="H11" s="10">
        <v>-4</v>
      </c>
      <c r="I11" s="28"/>
    </row>
    <row r="12" spans="1:24">
      <c r="A12" s="4" t="s">
        <v>19</v>
      </c>
      <c r="B12" s="18"/>
      <c r="C12" s="18"/>
      <c r="D12" s="18"/>
      <c r="E12" s="18"/>
      <c r="F12" s="18"/>
      <c r="G12" s="18"/>
      <c r="H12" s="18"/>
      <c r="I12" s="28"/>
    </row>
    <row r="13" spans="1:24">
      <c r="A13" s="22" t="s">
        <v>20</v>
      </c>
      <c r="B13" s="31">
        <f>B10+B11*B3</f>
        <v>24</v>
      </c>
      <c r="C13" s="31">
        <f t="shared" ref="C13:H13" si="0">C10+C11*C3</f>
        <v>20</v>
      </c>
      <c r="D13" s="31">
        <f t="shared" si="0"/>
        <v>16</v>
      </c>
      <c r="E13" s="31">
        <f t="shared" si="0"/>
        <v>12</v>
      </c>
      <c r="F13" s="31">
        <f t="shared" si="0"/>
        <v>10</v>
      </c>
      <c r="G13" s="31">
        <f t="shared" si="0"/>
        <v>8</v>
      </c>
      <c r="H13" s="31">
        <f t="shared" si="0"/>
        <v>4</v>
      </c>
      <c r="I13" s="28"/>
    </row>
    <row r="14" spans="1:24">
      <c r="A14" s="4" t="s">
        <v>10</v>
      </c>
      <c r="B14" s="18"/>
      <c r="C14" s="18"/>
      <c r="D14" s="18"/>
      <c r="E14" s="18"/>
      <c r="F14" s="18"/>
      <c r="G14" s="18"/>
      <c r="H14" s="18"/>
      <c r="I14" s="28"/>
    </row>
    <row r="15" spans="1:24">
      <c r="A15" s="6" t="s">
        <v>11</v>
      </c>
      <c r="B15" s="19">
        <f>B13*B3</f>
        <v>144</v>
      </c>
      <c r="C15" s="19">
        <f t="shared" ref="C15:H15" si="1">C13*C3</f>
        <v>140</v>
      </c>
      <c r="D15" s="19">
        <f t="shared" si="1"/>
        <v>128</v>
      </c>
      <c r="E15" s="19">
        <f t="shared" si="1"/>
        <v>108</v>
      </c>
      <c r="F15" s="19">
        <f t="shared" si="1"/>
        <v>95</v>
      </c>
      <c r="G15" s="19">
        <f t="shared" si="1"/>
        <v>80</v>
      </c>
      <c r="H15" s="19">
        <f t="shared" si="1"/>
        <v>44</v>
      </c>
      <c r="I15" s="28"/>
    </row>
    <row r="16" spans="1:24">
      <c r="A16" s="22" t="s">
        <v>12</v>
      </c>
      <c r="B16" s="19">
        <f>B5*B13</f>
        <v>49.199999999999996</v>
      </c>
      <c r="C16" s="19">
        <f t="shared" ref="C16:H16" si="2">C5*C13</f>
        <v>41</v>
      </c>
      <c r="D16" s="19">
        <f t="shared" si="2"/>
        <v>32.799999999999997</v>
      </c>
      <c r="E16" s="19">
        <f t="shared" si="2"/>
        <v>24.599999999999998</v>
      </c>
      <c r="F16" s="19">
        <f t="shared" si="2"/>
        <v>20.5</v>
      </c>
      <c r="G16" s="19">
        <f t="shared" si="2"/>
        <v>16.399999999999999</v>
      </c>
      <c r="H16" s="19">
        <f t="shared" si="2"/>
        <v>8.1999999999999993</v>
      </c>
      <c r="I16" s="28"/>
    </row>
    <row r="17" spans="1:9">
      <c r="A17" s="22" t="s">
        <v>13</v>
      </c>
      <c r="B17" s="19">
        <f>(B6+B7)*B13</f>
        <v>90.72</v>
      </c>
      <c r="C17" s="19">
        <f t="shared" ref="C17:H17" si="3">(C6+C7)*C13</f>
        <v>75.599999999999994</v>
      </c>
      <c r="D17" s="19">
        <f t="shared" si="3"/>
        <v>60.48</v>
      </c>
      <c r="E17" s="19">
        <f t="shared" si="3"/>
        <v>45.36</v>
      </c>
      <c r="F17" s="19">
        <f t="shared" si="3"/>
        <v>37.799999999999997</v>
      </c>
      <c r="G17" s="19">
        <f t="shared" si="3"/>
        <v>30.24</v>
      </c>
      <c r="H17" s="19">
        <f t="shared" si="3"/>
        <v>15.12</v>
      </c>
      <c r="I17" s="28"/>
    </row>
    <row r="18" spans="1:9">
      <c r="A18" s="22" t="s">
        <v>14</v>
      </c>
      <c r="B18" s="23">
        <f>B8</f>
        <v>12</v>
      </c>
      <c r="C18" s="23">
        <f t="shared" ref="C18:H18" si="4">C8</f>
        <v>12</v>
      </c>
      <c r="D18" s="23">
        <f t="shared" si="4"/>
        <v>12</v>
      </c>
      <c r="E18" s="23">
        <f t="shared" si="4"/>
        <v>12</v>
      </c>
      <c r="F18" s="23">
        <f t="shared" si="4"/>
        <v>12</v>
      </c>
      <c r="G18" s="23">
        <f t="shared" si="4"/>
        <v>12</v>
      </c>
      <c r="H18" s="23">
        <f t="shared" si="4"/>
        <v>12</v>
      </c>
      <c r="I18" s="28"/>
    </row>
    <row r="19" spans="1:9">
      <c r="A19" s="6" t="s">
        <v>15</v>
      </c>
      <c r="B19" s="19">
        <f>SUM(B16:B18)</f>
        <v>151.91999999999999</v>
      </c>
      <c r="C19" s="19">
        <f t="shared" ref="C19:H19" si="5">SUM(C16:C18)</f>
        <v>128.6</v>
      </c>
      <c r="D19" s="19">
        <f t="shared" si="5"/>
        <v>105.28</v>
      </c>
      <c r="E19" s="19">
        <f t="shared" si="5"/>
        <v>81.96</v>
      </c>
      <c r="F19" s="19">
        <f t="shared" si="5"/>
        <v>70.3</v>
      </c>
      <c r="G19" s="19">
        <f t="shared" si="5"/>
        <v>58.64</v>
      </c>
      <c r="H19" s="19">
        <f t="shared" si="5"/>
        <v>35.32</v>
      </c>
      <c r="I19" s="28"/>
    </row>
    <row r="20" spans="1:9">
      <c r="A20" s="6" t="s">
        <v>16</v>
      </c>
      <c r="B20" s="39">
        <f>B15-B19</f>
        <v>-7.9199999999999875</v>
      </c>
      <c r="C20" s="32">
        <f t="shared" ref="C20:H20" si="6">C15-C19</f>
        <v>11.400000000000006</v>
      </c>
      <c r="D20" s="32">
        <f t="shared" si="6"/>
        <v>22.72</v>
      </c>
      <c r="E20" s="32">
        <f t="shared" si="6"/>
        <v>26.040000000000006</v>
      </c>
      <c r="F20" s="32">
        <f t="shared" si="6"/>
        <v>24.700000000000003</v>
      </c>
      <c r="G20" s="32">
        <f t="shared" si="6"/>
        <v>21.36</v>
      </c>
      <c r="H20" s="32">
        <f t="shared" si="6"/>
        <v>8.68</v>
      </c>
      <c r="I20" s="28"/>
    </row>
    <row r="21" spans="1:9">
      <c r="A21" s="21"/>
      <c r="B21" s="18"/>
      <c r="C21" s="18"/>
      <c r="D21" s="18"/>
      <c r="E21" s="18"/>
      <c r="F21" s="18"/>
      <c r="G21" s="18"/>
      <c r="H21" s="18"/>
      <c r="I21" s="28"/>
    </row>
    <row r="22" spans="1:9">
      <c r="A22" s="22"/>
      <c r="B22" s="19"/>
      <c r="C22" s="19"/>
      <c r="D22" s="19"/>
      <c r="E22" s="19"/>
      <c r="F22" s="19"/>
      <c r="G22" s="19"/>
      <c r="H22" s="19"/>
    </row>
    <row r="23" spans="1:9">
      <c r="A23" s="22"/>
      <c r="B23" s="19"/>
      <c r="C23" s="19"/>
      <c r="D23" s="19"/>
      <c r="E23" s="19"/>
      <c r="F23" s="19"/>
      <c r="G23" s="19"/>
      <c r="H23" s="19"/>
    </row>
    <row r="24" spans="1:9">
      <c r="A24" s="22"/>
      <c r="B24" s="19"/>
      <c r="C24" s="19"/>
      <c r="D24" s="19"/>
      <c r="E24" s="19"/>
      <c r="F24" s="19"/>
      <c r="G24" s="19"/>
      <c r="H24" s="19"/>
    </row>
    <row r="25" spans="1:9">
      <c r="A25" s="22"/>
      <c r="B25" s="7"/>
      <c r="C25" s="7"/>
      <c r="D25" s="7"/>
      <c r="E25" s="7"/>
      <c r="F25" s="7"/>
      <c r="G25" s="7"/>
      <c r="H25" s="7"/>
    </row>
    <row r="26" spans="1:9">
      <c r="A26" s="33"/>
      <c r="B26" s="34"/>
      <c r="C26" s="34"/>
      <c r="D26" s="34"/>
      <c r="E26" s="34"/>
      <c r="F26" s="34"/>
      <c r="G26" s="34"/>
      <c r="H26" s="34"/>
    </row>
    <row r="27" spans="1:9">
      <c r="A27" s="33"/>
      <c r="B27" s="34"/>
      <c r="C27" s="34"/>
      <c r="D27" s="34"/>
      <c r="E27" s="34"/>
      <c r="F27" s="34"/>
      <c r="G27" s="34"/>
      <c r="H27" s="34"/>
    </row>
    <row r="28" spans="1:9">
      <c r="A28" s="16"/>
      <c r="B28" s="19"/>
      <c r="C28" s="19"/>
      <c r="D28" s="19"/>
      <c r="E28" s="19"/>
      <c r="F28" s="19"/>
      <c r="G28" s="19"/>
      <c r="H28" s="19"/>
    </row>
    <row r="29" spans="1:9">
      <c r="A29" s="33"/>
      <c r="B29" s="34"/>
      <c r="C29" s="34"/>
      <c r="D29" s="34"/>
      <c r="E29" s="34"/>
      <c r="F29" s="34"/>
      <c r="G29" s="34"/>
      <c r="H29" s="34"/>
    </row>
    <row r="30" spans="1:9">
      <c r="A30" s="33"/>
      <c r="B30" s="34"/>
      <c r="C30" s="34"/>
      <c r="D30" s="34"/>
      <c r="E30" s="34"/>
      <c r="F30" s="34"/>
      <c r="G30" s="34"/>
      <c r="H30" s="34"/>
    </row>
    <row r="31" spans="1:9">
      <c r="A31" s="35"/>
      <c r="C31" s="26"/>
      <c r="D31" s="26"/>
      <c r="E31" s="26"/>
      <c r="F31" s="26"/>
      <c r="G31" s="26"/>
      <c r="H31" s="26"/>
    </row>
    <row r="32" spans="1:9">
      <c r="A32" s="6"/>
      <c r="B32" s="36"/>
      <c r="C32" s="36"/>
      <c r="D32" s="36"/>
      <c r="E32" s="36"/>
      <c r="F32" s="36"/>
      <c r="G32" s="36"/>
      <c r="H32" s="36"/>
    </row>
    <row r="33" spans="1:8">
      <c r="A33" s="35"/>
      <c r="C33" s="26"/>
      <c r="D33" s="26"/>
      <c r="E33" s="26"/>
      <c r="F33" s="26"/>
      <c r="G33" s="26"/>
      <c r="H33" s="26"/>
    </row>
    <row r="34" spans="1:8">
      <c r="A34" s="6"/>
      <c r="B34" s="37"/>
      <c r="C34" s="37"/>
      <c r="D34" s="37"/>
      <c r="E34" s="37"/>
      <c r="F34" s="37"/>
      <c r="G34" s="37"/>
      <c r="H34" s="37"/>
    </row>
    <row r="35" spans="1:8">
      <c r="A35" s="16"/>
      <c r="B35" s="37"/>
      <c r="C35" s="37"/>
      <c r="D35" s="37"/>
      <c r="E35" s="37"/>
      <c r="F35" s="37"/>
      <c r="G35" s="37"/>
      <c r="H35" s="37"/>
    </row>
    <row r="36" spans="1:8">
      <c r="A36" s="16"/>
      <c r="B36" s="37"/>
      <c r="C36" s="37"/>
      <c r="D36" s="37"/>
      <c r="E36" s="37"/>
      <c r="F36" s="37"/>
      <c r="G36" s="37"/>
      <c r="H36" s="37"/>
    </row>
    <row r="37" spans="1:8">
      <c r="A37" s="16"/>
      <c r="B37" s="38"/>
      <c r="C37" s="38"/>
      <c r="D37" s="38"/>
      <c r="E37" s="38"/>
      <c r="F37" s="38"/>
      <c r="G37" s="38"/>
      <c r="H37" s="38"/>
    </row>
    <row r="38" spans="1:8">
      <c r="A38" s="6"/>
      <c r="B38" s="38"/>
      <c r="C38" s="38"/>
      <c r="D38" s="38"/>
      <c r="E38" s="38"/>
      <c r="F38" s="38"/>
      <c r="G38" s="38"/>
      <c r="H38" s="38"/>
    </row>
    <row r="39" spans="1:8">
      <c r="A39" s="6"/>
      <c r="B39" s="37"/>
      <c r="C39" s="37"/>
      <c r="D39" s="37"/>
      <c r="E39" s="37"/>
      <c r="F39" s="37"/>
      <c r="G39" s="37"/>
      <c r="H39" s="37"/>
    </row>
    <row r="42" spans="1:8">
      <c r="B42" s="24"/>
    </row>
    <row r="43" spans="1:8">
      <c r="A43" s="25"/>
      <c r="B43" s="25"/>
    </row>
    <row r="44" spans="1:8">
      <c r="A44" s="25"/>
      <c r="B44" s="25"/>
    </row>
    <row r="45" spans="1:8">
      <c r="A45" s="25"/>
      <c r="B45" s="25"/>
    </row>
    <row r="46" spans="1:8">
      <c r="A46" s="25"/>
      <c r="B46" s="25"/>
    </row>
    <row r="47" spans="1:8">
      <c r="A47" s="25"/>
      <c r="B47" s="25"/>
    </row>
    <row r="48" spans="1:8">
      <c r="A48" s="25"/>
      <c r="B48" s="25"/>
    </row>
    <row r="49" spans="1:5">
      <c r="A49" s="25"/>
      <c r="B49" s="25"/>
    </row>
    <row r="50" spans="1:5">
      <c r="A50" s="25"/>
      <c r="B50" s="25"/>
      <c r="D50" s="25"/>
      <c r="E50" s="25"/>
    </row>
    <row r="51" spans="1:5">
      <c r="A51" s="25"/>
      <c r="B51" s="25"/>
      <c r="D51" s="25"/>
      <c r="E51" s="25"/>
    </row>
    <row r="52" spans="1:5">
      <c r="A52" s="25"/>
      <c r="B52" s="25"/>
      <c r="D52" s="25"/>
      <c r="E52" s="25"/>
    </row>
    <row r="53" spans="1:5">
      <c r="A53" s="25"/>
      <c r="B53" s="25"/>
      <c r="D53" s="25"/>
      <c r="E53" s="25"/>
    </row>
    <row r="54" spans="1:5">
      <c r="A54" s="25"/>
      <c r="B54" s="25"/>
      <c r="D54" s="25"/>
      <c r="E54" s="25"/>
    </row>
    <row r="55" spans="1:5">
      <c r="A55" s="25"/>
      <c r="B55" s="25"/>
      <c r="D55" s="25"/>
      <c r="E55" s="25"/>
    </row>
    <row r="56" spans="1:5">
      <c r="A56" s="25"/>
      <c r="B56" s="25"/>
      <c r="D56" s="25"/>
      <c r="E56" s="25"/>
    </row>
    <row r="57" spans="1:5">
      <c r="A57" s="25"/>
      <c r="B57" s="25"/>
      <c r="D57" s="25"/>
      <c r="E57" s="25"/>
    </row>
    <row r="58" spans="1:5">
      <c r="A58" s="25"/>
      <c r="B58" s="25"/>
      <c r="D58" s="25"/>
      <c r="E58" s="25"/>
    </row>
    <row r="59" spans="1:5">
      <c r="A59" s="25"/>
      <c r="B59" s="25"/>
      <c r="D59" s="25"/>
      <c r="E59" s="25"/>
    </row>
    <row r="60" spans="1:5">
      <c r="A60" s="25"/>
      <c r="B60" s="25"/>
      <c r="D60" s="25"/>
      <c r="E60" s="25"/>
    </row>
    <row r="61" spans="1:5">
      <c r="A61" s="25"/>
      <c r="B61" s="25"/>
      <c r="D61" s="25"/>
      <c r="E61" s="25"/>
    </row>
    <row r="62" spans="1:5">
      <c r="A62" s="25"/>
      <c r="B62" s="25"/>
      <c r="D62" s="25"/>
      <c r="E62" s="25"/>
    </row>
    <row r="63" spans="1:5">
      <c r="A63" s="25"/>
      <c r="B63" s="25"/>
      <c r="D63" s="25"/>
      <c r="E63" s="25"/>
    </row>
    <row r="64" spans="1:5">
      <c r="A64" s="25"/>
      <c r="B64" s="25"/>
      <c r="D64" s="25"/>
      <c r="E64" s="25"/>
    </row>
    <row r="65" spans="1:5">
      <c r="A65" s="25"/>
      <c r="B65" s="25"/>
      <c r="D65" s="25"/>
      <c r="E65" s="25"/>
    </row>
    <row r="66" spans="1:5">
      <c r="A66" s="25"/>
      <c r="B66" s="25"/>
      <c r="D66" s="25"/>
      <c r="E66" s="25"/>
    </row>
    <row r="67" spans="1:5">
      <c r="A67" s="25"/>
      <c r="B67" s="25"/>
      <c r="D67" s="25"/>
      <c r="E67" s="25"/>
    </row>
    <row r="68" spans="1:5">
      <c r="A68" s="25"/>
      <c r="B68" s="25"/>
      <c r="D68" s="25"/>
      <c r="E68" s="25"/>
    </row>
    <row r="69" spans="1:5">
      <c r="A69" s="25"/>
      <c r="B69" s="25"/>
      <c r="D69" s="25"/>
      <c r="E69" s="25"/>
    </row>
    <row r="70" spans="1:5">
      <c r="D70" s="25"/>
      <c r="E70" s="25"/>
    </row>
    <row r="71" spans="1:5">
      <c r="D71" s="25"/>
      <c r="E71" s="25"/>
    </row>
    <row r="72" spans="1:5">
      <c r="D72" s="25"/>
      <c r="E72" s="25"/>
    </row>
    <row r="73" spans="1:5">
      <c r="D73" s="25"/>
      <c r="E73" s="25"/>
    </row>
    <row r="74" spans="1:5">
      <c r="D74" s="25"/>
      <c r="E74" s="25"/>
    </row>
    <row r="75" spans="1:5">
      <c r="D75" s="25"/>
      <c r="E75" s="25"/>
    </row>
    <row r="76" spans="1:5">
      <c r="D76" s="25"/>
      <c r="E76" s="25"/>
    </row>
    <row r="77" spans="1:5">
      <c r="D77" s="25"/>
      <c r="E77" s="25"/>
    </row>
    <row r="78" spans="1:5">
      <c r="D78" s="25"/>
      <c r="E78" s="25"/>
    </row>
    <row r="79" spans="1:5">
      <c r="D79" s="25"/>
      <c r="E79" s="25"/>
    </row>
    <row r="80" spans="1:5">
      <c r="D80" s="25"/>
      <c r="E80" s="25"/>
    </row>
    <row r="81" spans="4:5">
      <c r="D81" s="25"/>
      <c r="E81" s="25"/>
    </row>
    <row r="82" spans="4:5">
      <c r="D82" s="25"/>
      <c r="E82" s="25"/>
    </row>
    <row r="83" spans="4:5">
      <c r="D83" s="25"/>
      <c r="E83" s="25"/>
    </row>
    <row r="84" spans="4:5">
      <c r="D84" s="25"/>
      <c r="E84" s="25"/>
    </row>
    <row r="85" spans="4:5">
      <c r="D85" s="25"/>
      <c r="E85" s="25"/>
    </row>
    <row r="86" spans="4:5">
      <c r="D86" s="25"/>
      <c r="E86" s="25"/>
    </row>
    <row r="87" spans="4:5">
      <c r="D87" s="25"/>
      <c r="E87" s="25"/>
    </row>
    <row r="88" spans="4:5">
      <c r="D88" s="25"/>
      <c r="E88" s="25"/>
    </row>
    <row r="89" spans="4:5">
      <c r="D89" s="25"/>
      <c r="E89" s="25"/>
    </row>
    <row r="90" spans="4:5">
      <c r="D90" s="25"/>
      <c r="E90" s="25"/>
    </row>
    <row r="91" spans="4:5">
      <c r="D91" s="25"/>
      <c r="E91" s="25"/>
    </row>
    <row r="92" spans="4:5">
      <c r="D92" s="25"/>
      <c r="E92" s="25"/>
    </row>
    <row r="93" spans="4:5">
      <c r="D93" s="25"/>
      <c r="E93" s="25"/>
    </row>
    <row r="94" spans="4:5">
      <c r="D94" s="25"/>
      <c r="E94" s="25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66BE-2FDA-BB4F-98BC-1C0C64EC6FB9}">
  <dimension ref="A1:X97"/>
  <sheetViews>
    <sheetView zoomScale="265" workbookViewId="0">
      <selection activeCell="D15" sqref="D15"/>
    </sheetView>
  </sheetViews>
  <sheetFormatPr baseColWidth="10" defaultColWidth="9.19921875" defaultRowHeight="12"/>
  <cols>
    <col min="1" max="1" width="36.19921875" style="3" customWidth="1"/>
    <col min="2" max="2" width="7.19921875" style="26" bestFit="1" customWidth="1"/>
    <col min="3" max="3" width="7.19921875" style="3" bestFit="1" customWidth="1"/>
    <col min="4" max="4" width="6.59765625" style="3" bestFit="1" customWidth="1"/>
    <col min="5" max="5" width="9.796875" style="3" customWidth="1"/>
    <col min="6" max="7" width="7.19921875" style="3" bestFit="1" customWidth="1"/>
    <col min="8" max="8" width="7.59765625" style="3" bestFit="1" customWidth="1"/>
    <col min="9" max="9" width="3" style="3" customWidth="1"/>
    <col min="10" max="21" width="9.59765625" style="3" bestFit="1" customWidth="1"/>
    <col min="22" max="24" width="9.796875" style="3" customWidth="1"/>
    <col min="25" max="25" width="3" style="3" bestFit="1" customWidth="1"/>
    <col min="26" max="251" width="9.796875" style="3" customWidth="1"/>
    <col min="252" max="16384" width="9.19921875" style="3"/>
  </cols>
  <sheetData>
    <row r="1" spans="1:24">
      <c r="A1" s="1" t="s">
        <v>1</v>
      </c>
      <c r="B1" s="27"/>
      <c r="C1" s="27"/>
      <c r="D1" s="27"/>
      <c r="E1" s="27"/>
      <c r="F1" s="27"/>
      <c r="G1" s="27"/>
      <c r="H1" s="28"/>
      <c r="I1" s="28"/>
    </row>
    <row r="2" spans="1:24">
      <c r="A2" s="4" t="s">
        <v>2</v>
      </c>
      <c r="B2" s="61"/>
      <c r="C2" s="65"/>
      <c r="D2" s="65"/>
      <c r="E2" s="64" t="s">
        <v>41</v>
      </c>
      <c r="F2" s="65"/>
      <c r="G2" s="65"/>
      <c r="H2" s="65"/>
      <c r="I2" s="28"/>
    </row>
    <row r="3" spans="1:24">
      <c r="A3" s="50" t="s">
        <v>22</v>
      </c>
      <c r="B3" s="66">
        <v>0.85</v>
      </c>
      <c r="C3" s="66">
        <v>0.9</v>
      </c>
      <c r="D3" s="66">
        <v>0.95</v>
      </c>
      <c r="E3" s="66">
        <v>1</v>
      </c>
      <c r="F3" s="66">
        <v>1.05</v>
      </c>
      <c r="G3" s="66">
        <v>1.1000000000000001</v>
      </c>
      <c r="H3" s="66">
        <v>1.1499999999999999</v>
      </c>
      <c r="I3" s="28"/>
    </row>
    <row r="4" spans="1:24">
      <c r="A4" s="6" t="s">
        <v>3</v>
      </c>
      <c r="B4" s="7">
        <f>B3*$E$4</f>
        <v>7.6499999999999995</v>
      </c>
      <c r="C4" s="7">
        <f>C3*$E$4</f>
        <v>8.1</v>
      </c>
      <c r="D4" s="7">
        <f>D3*$E$4</f>
        <v>8.5499999999999989</v>
      </c>
      <c r="E4" s="7">
        <v>9</v>
      </c>
      <c r="F4" s="7">
        <f>F3*$E$4</f>
        <v>9.4500000000000011</v>
      </c>
      <c r="G4" s="7">
        <f>G3*$E$4</f>
        <v>9.9</v>
      </c>
      <c r="H4" s="7">
        <f>H3*$E$4</f>
        <v>10.35</v>
      </c>
      <c r="I4" s="28"/>
      <c r="X4" s="3">
        <v>31</v>
      </c>
    </row>
    <row r="5" spans="1:24">
      <c r="A5" s="4" t="s">
        <v>5</v>
      </c>
      <c r="B5" s="8"/>
      <c r="C5" s="8"/>
      <c r="D5" s="8"/>
      <c r="E5" s="8"/>
      <c r="F5" s="8"/>
      <c r="G5" s="8"/>
      <c r="H5" s="8"/>
      <c r="I5" s="28"/>
    </row>
    <row r="6" spans="1:24">
      <c r="A6" s="16" t="s">
        <v>6</v>
      </c>
      <c r="B6" s="7">
        <v>2.0499999999999998</v>
      </c>
      <c r="C6" s="7">
        <v>2.0499999999999998</v>
      </c>
      <c r="D6" s="7">
        <v>2.0499999999999998</v>
      </c>
      <c r="E6" s="7">
        <v>2.0499999999999998</v>
      </c>
      <c r="F6" s="7">
        <v>2.0499999999999998</v>
      </c>
      <c r="G6" s="7">
        <v>2.0499999999999998</v>
      </c>
      <c r="H6" s="7">
        <v>2.0499999999999998</v>
      </c>
      <c r="I6" s="28"/>
    </row>
    <row r="7" spans="1:24">
      <c r="A7" s="16" t="s">
        <v>7</v>
      </c>
      <c r="B7" s="7">
        <v>3.48</v>
      </c>
      <c r="C7" s="7">
        <v>3.48</v>
      </c>
      <c r="D7" s="7">
        <v>3.48</v>
      </c>
      <c r="E7" s="7">
        <v>3.48</v>
      </c>
      <c r="F7" s="7">
        <v>3.48</v>
      </c>
      <c r="G7" s="7">
        <v>3.48</v>
      </c>
      <c r="H7" s="7">
        <v>3.48</v>
      </c>
      <c r="I7" s="28"/>
    </row>
    <row r="8" spans="1:24">
      <c r="A8" s="16" t="s">
        <v>8</v>
      </c>
      <c r="B8" s="17">
        <v>0.3</v>
      </c>
      <c r="C8" s="17">
        <v>0.3</v>
      </c>
      <c r="D8" s="17">
        <v>0.3</v>
      </c>
      <c r="E8" s="17">
        <v>0.3</v>
      </c>
      <c r="F8" s="17">
        <v>0.3</v>
      </c>
      <c r="G8" s="17">
        <v>0.3</v>
      </c>
      <c r="H8" s="17">
        <v>0.3</v>
      </c>
      <c r="I8" s="28"/>
    </row>
    <row r="9" spans="1:24">
      <c r="A9" s="20" t="s">
        <v>9</v>
      </c>
      <c r="B9" s="19">
        <v>12</v>
      </c>
      <c r="C9" s="19">
        <v>12</v>
      </c>
      <c r="D9" s="19">
        <v>12</v>
      </c>
      <c r="E9" s="19">
        <v>12</v>
      </c>
      <c r="F9" s="19">
        <v>12</v>
      </c>
      <c r="G9" s="19">
        <v>12</v>
      </c>
      <c r="H9" s="19">
        <v>12</v>
      </c>
      <c r="I9" s="28"/>
    </row>
    <row r="10" spans="1:24">
      <c r="A10" s="29" t="s">
        <v>21</v>
      </c>
      <c r="B10" s="18"/>
      <c r="C10" s="18"/>
      <c r="D10" s="18"/>
      <c r="E10" s="18"/>
      <c r="F10" s="18"/>
      <c r="G10" s="18"/>
      <c r="H10" s="18"/>
      <c r="I10" s="28"/>
    </row>
    <row r="11" spans="1:24">
      <c r="A11" s="30" t="s">
        <v>17</v>
      </c>
      <c r="B11" s="10">
        <v>48</v>
      </c>
      <c r="C11" s="10">
        <v>48</v>
      </c>
      <c r="D11" s="10">
        <v>48</v>
      </c>
      <c r="E11" s="10">
        <v>48</v>
      </c>
      <c r="F11" s="10">
        <v>48</v>
      </c>
      <c r="G11" s="10">
        <v>48</v>
      </c>
      <c r="H11" s="10">
        <v>48</v>
      </c>
      <c r="I11" s="28"/>
    </row>
    <row r="12" spans="1:24">
      <c r="A12" s="30" t="s">
        <v>18</v>
      </c>
      <c r="B12" s="10">
        <v>-4</v>
      </c>
      <c r="C12" s="10">
        <v>-4</v>
      </c>
      <c r="D12" s="10">
        <v>-4</v>
      </c>
      <c r="E12" s="10">
        <v>-4</v>
      </c>
      <c r="F12" s="10">
        <v>-4</v>
      </c>
      <c r="G12" s="10">
        <v>-4</v>
      </c>
      <c r="H12" s="10">
        <v>-4</v>
      </c>
      <c r="I12" s="28"/>
    </row>
    <row r="13" spans="1:24">
      <c r="A13" s="4" t="s">
        <v>19</v>
      </c>
      <c r="B13" s="18"/>
      <c r="C13" s="18"/>
      <c r="D13" s="18"/>
      <c r="E13" s="18"/>
      <c r="F13" s="18"/>
      <c r="G13" s="18"/>
      <c r="H13" s="18"/>
      <c r="I13" s="28"/>
    </row>
    <row r="14" spans="1:24">
      <c r="A14" s="22" t="s">
        <v>20</v>
      </c>
      <c r="B14" s="31">
        <f t="shared" ref="B14:H14" si="0">B11+B12*B4</f>
        <v>17.400000000000002</v>
      </c>
      <c r="C14" s="31">
        <f t="shared" si="0"/>
        <v>15.600000000000001</v>
      </c>
      <c r="D14" s="31">
        <f t="shared" si="0"/>
        <v>13.800000000000004</v>
      </c>
      <c r="E14" s="31">
        <f t="shared" si="0"/>
        <v>12</v>
      </c>
      <c r="F14" s="31">
        <f t="shared" si="0"/>
        <v>10.199999999999996</v>
      </c>
      <c r="G14" s="31">
        <f t="shared" si="0"/>
        <v>8.3999999999999986</v>
      </c>
      <c r="H14" s="31">
        <f t="shared" si="0"/>
        <v>6.6000000000000014</v>
      </c>
      <c r="I14" s="28"/>
    </row>
    <row r="15" spans="1:24">
      <c r="A15" s="22" t="s">
        <v>23</v>
      </c>
      <c r="B15" s="67">
        <f>(B14-$E$14)/$E$14</f>
        <v>0.45000000000000018</v>
      </c>
      <c r="C15" s="67">
        <f>(C14-$E$14)/$E$14</f>
        <v>0.3000000000000001</v>
      </c>
      <c r="D15" s="67">
        <f>(D14-$E$14)/$E$14</f>
        <v>0.15000000000000036</v>
      </c>
      <c r="E15" s="67">
        <v>1</v>
      </c>
      <c r="F15" s="67">
        <f>(F14-$E$14)/$E$14</f>
        <v>-0.15000000000000036</v>
      </c>
      <c r="G15" s="67">
        <f>(G14-$E$14)/$E$14</f>
        <v>-0.3000000000000001</v>
      </c>
      <c r="H15" s="67">
        <f>(H14-$E$14)/$E$14</f>
        <v>-0.4499999999999999</v>
      </c>
      <c r="I15" s="28"/>
    </row>
    <row r="16" spans="1:24">
      <c r="A16" s="4" t="s">
        <v>10</v>
      </c>
      <c r="B16" s="18"/>
      <c r="C16" s="18"/>
      <c r="D16" s="18"/>
      <c r="E16" s="18"/>
      <c r="F16" s="18"/>
      <c r="G16" s="18"/>
      <c r="H16" s="18"/>
      <c r="I16" s="28"/>
    </row>
    <row r="17" spans="1:9">
      <c r="A17" s="6" t="s">
        <v>11</v>
      </c>
      <c r="B17" s="19">
        <f t="shared" ref="B17:H17" si="1">B14*B4</f>
        <v>133.11000000000001</v>
      </c>
      <c r="C17" s="19">
        <f t="shared" si="1"/>
        <v>126.36</v>
      </c>
      <c r="D17" s="19">
        <f t="shared" si="1"/>
        <v>117.99000000000002</v>
      </c>
      <c r="E17" s="19">
        <f t="shared" si="1"/>
        <v>108</v>
      </c>
      <c r="F17" s="19">
        <f t="shared" si="1"/>
        <v>96.389999999999972</v>
      </c>
      <c r="G17" s="19">
        <f t="shared" si="1"/>
        <v>83.159999999999982</v>
      </c>
      <c r="H17" s="19">
        <f t="shared" si="1"/>
        <v>68.310000000000016</v>
      </c>
      <c r="I17" s="28"/>
    </row>
    <row r="18" spans="1:9">
      <c r="A18" s="22" t="s">
        <v>12</v>
      </c>
      <c r="B18" s="19">
        <f t="shared" ref="B18:H18" si="2">B6*B14</f>
        <v>35.67</v>
      </c>
      <c r="C18" s="19">
        <f t="shared" si="2"/>
        <v>31.98</v>
      </c>
      <c r="D18" s="19">
        <f t="shared" si="2"/>
        <v>28.290000000000006</v>
      </c>
      <c r="E18" s="19">
        <f t="shared" si="2"/>
        <v>24.599999999999998</v>
      </c>
      <c r="F18" s="19">
        <f t="shared" si="2"/>
        <v>20.909999999999989</v>
      </c>
      <c r="G18" s="19">
        <f t="shared" si="2"/>
        <v>17.219999999999995</v>
      </c>
      <c r="H18" s="19">
        <f t="shared" si="2"/>
        <v>13.530000000000001</v>
      </c>
      <c r="I18" s="28"/>
    </row>
    <row r="19" spans="1:9">
      <c r="A19" s="22" t="s">
        <v>13</v>
      </c>
      <c r="B19" s="19">
        <f t="shared" ref="B19:H19" si="3">(B7+B8)*B14</f>
        <v>65.772000000000006</v>
      </c>
      <c r="C19" s="19">
        <f t="shared" si="3"/>
        <v>58.968000000000004</v>
      </c>
      <c r="D19" s="19">
        <f t="shared" si="3"/>
        <v>52.164000000000016</v>
      </c>
      <c r="E19" s="19">
        <f t="shared" si="3"/>
        <v>45.36</v>
      </c>
      <c r="F19" s="19">
        <f t="shared" si="3"/>
        <v>38.555999999999983</v>
      </c>
      <c r="G19" s="19">
        <f t="shared" si="3"/>
        <v>31.751999999999992</v>
      </c>
      <c r="H19" s="19">
        <f t="shared" si="3"/>
        <v>24.948000000000004</v>
      </c>
      <c r="I19" s="28"/>
    </row>
    <row r="20" spans="1:9">
      <c r="A20" s="22" t="s">
        <v>14</v>
      </c>
      <c r="B20" s="23">
        <f t="shared" ref="B20:H20" si="4">B9</f>
        <v>12</v>
      </c>
      <c r="C20" s="23">
        <f t="shared" si="4"/>
        <v>12</v>
      </c>
      <c r="D20" s="23">
        <f t="shared" si="4"/>
        <v>12</v>
      </c>
      <c r="E20" s="23">
        <f t="shared" si="4"/>
        <v>12</v>
      </c>
      <c r="F20" s="23">
        <f t="shared" si="4"/>
        <v>12</v>
      </c>
      <c r="G20" s="23">
        <f t="shared" si="4"/>
        <v>12</v>
      </c>
      <c r="H20" s="23">
        <f t="shared" si="4"/>
        <v>12</v>
      </c>
      <c r="I20" s="28"/>
    </row>
    <row r="21" spans="1:9">
      <c r="A21" s="6" t="s">
        <v>15</v>
      </c>
      <c r="B21" s="19">
        <f t="shared" ref="B21:H21" si="5">SUM(B18:B20)</f>
        <v>113.44200000000001</v>
      </c>
      <c r="C21" s="19">
        <f t="shared" si="5"/>
        <v>102.94800000000001</v>
      </c>
      <c r="D21" s="19">
        <f t="shared" si="5"/>
        <v>92.454000000000022</v>
      </c>
      <c r="E21" s="19">
        <f t="shared" si="5"/>
        <v>81.96</v>
      </c>
      <c r="F21" s="19">
        <f t="shared" si="5"/>
        <v>71.46599999999998</v>
      </c>
      <c r="G21" s="19">
        <f t="shared" si="5"/>
        <v>60.971999999999987</v>
      </c>
      <c r="H21" s="19">
        <f t="shared" si="5"/>
        <v>50.478000000000009</v>
      </c>
      <c r="I21" s="28"/>
    </row>
    <row r="22" spans="1:9">
      <c r="A22" s="6" t="s">
        <v>16</v>
      </c>
      <c r="B22" s="32">
        <f t="shared" ref="B22:H22" si="6">B17-B21</f>
        <v>19.668000000000006</v>
      </c>
      <c r="C22" s="32">
        <f t="shared" si="6"/>
        <v>23.411999999999992</v>
      </c>
      <c r="D22" s="32">
        <f t="shared" si="6"/>
        <v>25.536000000000001</v>
      </c>
      <c r="E22" s="32">
        <f t="shared" si="6"/>
        <v>26.040000000000006</v>
      </c>
      <c r="F22" s="32">
        <f t="shared" si="6"/>
        <v>24.923999999999992</v>
      </c>
      <c r="G22" s="32">
        <f t="shared" si="6"/>
        <v>22.187999999999995</v>
      </c>
      <c r="H22" s="32">
        <f t="shared" si="6"/>
        <v>17.832000000000008</v>
      </c>
      <c r="I22" s="28"/>
    </row>
    <row r="23" spans="1:9">
      <c r="A23" s="22" t="s">
        <v>24</v>
      </c>
      <c r="B23" s="67">
        <f>(B22-$E$22)/$E$22</f>
        <v>-0.24470046082949301</v>
      </c>
      <c r="C23" s="67">
        <f>(C22-$E$22)/$E$22</f>
        <v>-0.10092165898617564</v>
      </c>
      <c r="D23" s="67">
        <f>(D22-$E$22)/$E$22</f>
        <v>-1.9354838709677604E-2</v>
      </c>
      <c r="E23" s="67">
        <v>1</v>
      </c>
      <c r="F23" s="67">
        <f>(F22-$E$22)/$E$22</f>
        <v>-4.2857142857143378E-2</v>
      </c>
      <c r="G23" s="67">
        <f>(G22-$E$22)/$E$22</f>
        <v>-0.14792626728110639</v>
      </c>
      <c r="H23" s="67">
        <f>(H22-$E$22)/$E$22</f>
        <v>-0.31520737327188925</v>
      </c>
      <c r="I23" s="28"/>
    </row>
    <row r="24" spans="1:9">
      <c r="A24" s="21"/>
      <c r="B24" s="18"/>
      <c r="C24" s="18"/>
      <c r="D24" s="18"/>
      <c r="E24" s="18"/>
      <c r="F24" s="18"/>
      <c r="G24" s="18"/>
      <c r="H24" s="18"/>
      <c r="I24" s="28"/>
    </row>
    <row r="25" spans="1:9">
      <c r="A25" s="22"/>
      <c r="B25" s="19"/>
      <c r="C25" s="19"/>
      <c r="D25" s="19"/>
      <c r="E25" s="19"/>
      <c r="F25" s="19"/>
      <c r="G25" s="19"/>
      <c r="H25" s="19"/>
    </row>
    <row r="26" spans="1:9">
      <c r="A26" s="22"/>
      <c r="B26" s="19"/>
      <c r="C26" s="19"/>
      <c r="D26" s="19"/>
      <c r="E26" s="19"/>
      <c r="F26" s="19"/>
      <c r="G26" s="19"/>
      <c r="H26" s="19"/>
    </row>
    <row r="27" spans="1:9">
      <c r="A27" s="22"/>
      <c r="B27" s="19"/>
      <c r="C27" s="19"/>
      <c r="D27" s="19"/>
      <c r="E27" s="19"/>
      <c r="F27" s="19"/>
      <c r="G27" s="19"/>
      <c r="H27" s="19"/>
    </row>
    <row r="28" spans="1:9">
      <c r="A28" s="22"/>
      <c r="B28" s="7"/>
      <c r="C28" s="7"/>
      <c r="D28" s="7"/>
      <c r="E28" s="7"/>
      <c r="F28" s="7"/>
      <c r="G28" s="7"/>
      <c r="H28" s="7"/>
    </row>
    <row r="29" spans="1:9">
      <c r="A29" s="33"/>
      <c r="B29" s="34"/>
      <c r="C29" s="34"/>
      <c r="D29" s="34"/>
      <c r="E29" s="34"/>
      <c r="F29" s="34"/>
      <c r="G29" s="34"/>
      <c r="H29" s="34"/>
    </row>
    <row r="30" spans="1:9">
      <c r="A30" s="33"/>
      <c r="B30" s="34"/>
      <c r="C30" s="34"/>
      <c r="D30" s="34"/>
      <c r="E30" s="34"/>
      <c r="F30" s="34"/>
      <c r="G30" s="34"/>
      <c r="H30" s="34"/>
    </row>
    <row r="31" spans="1:9">
      <c r="A31" s="16"/>
      <c r="B31" s="19"/>
      <c r="C31" s="19"/>
      <c r="D31" s="19"/>
      <c r="E31" s="19"/>
      <c r="F31" s="19"/>
      <c r="G31" s="19"/>
      <c r="H31" s="19"/>
    </row>
    <row r="32" spans="1:9">
      <c r="A32" s="33"/>
      <c r="B32" s="34"/>
      <c r="C32" s="34"/>
      <c r="D32" s="34"/>
      <c r="E32" s="34"/>
      <c r="F32" s="34"/>
      <c r="G32" s="34"/>
      <c r="H32" s="34"/>
    </row>
    <row r="33" spans="1:8">
      <c r="A33" s="33"/>
      <c r="B33" s="34"/>
      <c r="C33" s="34"/>
      <c r="D33" s="34"/>
      <c r="E33" s="34"/>
      <c r="F33" s="34"/>
      <c r="G33" s="34"/>
      <c r="H33" s="34"/>
    </row>
    <row r="34" spans="1:8">
      <c r="A34" s="35"/>
      <c r="C34" s="26"/>
      <c r="D34" s="26"/>
      <c r="E34" s="26"/>
      <c r="F34" s="26"/>
      <c r="G34" s="26"/>
      <c r="H34" s="26"/>
    </row>
    <row r="35" spans="1:8">
      <c r="A35" s="6"/>
      <c r="B35" s="36"/>
      <c r="C35" s="36"/>
      <c r="D35" s="36"/>
      <c r="E35" s="36"/>
      <c r="F35" s="36"/>
      <c r="G35" s="36"/>
      <c r="H35" s="36"/>
    </row>
    <row r="36" spans="1:8">
      <c r="A36" s="35"/>
      <c r="C36" s="26"/>
      <c r="D36" s="26"/>
      <c r="E36" s="26"/>
      <c r="F36" s="26"/>
      <c r="G36" s="26"/>
      <c r="H36" s="26"/>
    </row>
    <row r="37" spans="1:8">
      <c r="A37" s="6"/>
      <c r="B37" s="37"/>
      <c r="C37" s="37"/>
      <c r="D37" s="37"/>
      <c r="E37" s="37"/>
      <c r="F37" s="37"/>
      <c r="G37" s="37"/>
      <c r="H37" s="37"/>
    </row>
    <row r="38" spans="1:8">
      <c r="A38" s="16"/>
      <c r="B38" s="37"/>
      <c r="C38" s="37"/>
      <c r="D38" s="37"/>
      <c r="E38" s="37"/>
      <c r="F38" s="37"/>
      <c r="G38" s="37"/>
      <c r="H38" s="37"/>
    </row>
    <row r="39" spans="1:8">
      <c r="A39" s="16"/>
      <c r="B39" s="37"/>
      <c r="C39" s="37"/>
      <c r="D39" s="37"/>
      <c r="E39" s="37"/>
      <c r="F39" s="37"/>
      <c r="G39" s="37"/>
      <c r="H39" s="37"/>
    </row>
    <row r="40" spans="1:8">
      <c r="A40" s="16"/>
      <c r="B40" s="38"/>
      <c r="C40" s="38"/>
      <c r="D40" s="38"/>
      <c r="E40" s="38"/>
      <c r="F40" s="38"/>
      <c r="G40" s="38"/>
      <c r="H40" s="38"/>
    </row>
    <row r="41" spans="1:8">
      <c r="A41" s="6"/>
      <c r="B41" s="38"/>
      <c r="C41" s="38"/>
      <c r="D41" s="38"/>
      <c r="E41" s="38"/>
      <c r="F41" s="38"/>
      <c r="G41" s="38"/>
      <c r="H41" s="38"/>
    </row>
    <row r="42" spans="1:8">
      <c r="A42" s="6"/>
      <c r="B42" s="37"/>
      <c r="C42" s="37"/>
      <c r="D42" s="37"/>
      <c r="E42" s="37"/>
      <c r="F42" s="37"/>
      <c r="G42" s="37"/>
      <c r="H42" s="37"/>
    </row>
    <row r="45" spans="1:8">
      <c r="B45" s="24"/>
    </row>
    <row r="46" spans="1:8">
      <c r="A46" s="25"/>
      <c r="B46" s="25"/>
    </row>
    <row r="47" spans="1:8">
      <c r="A47" s="25"/>
      <c r="B47" s="25"/>
    </row>
    <row r="48" spans="1:8">
      <c r="A48" s="25"/>
      <c r="B48" s="25"/>
    </row>
    <row r="49" spans="1:5">
      <c r="A49" s="25"/>
      <c r="B49" s="25"/>
    </row>
    <row r="50" spans="1:5">
      <c r="A50" s="25"/>
      <c r="B50" s="25"/>
    </row>
    <row r="51" spans="1:5">
      <c r="A51" s="25"/>
      <c r="B51" s="25"/>
    </row>
    <row r="52" spans="1:5">
      <c r="A52" s="25"/>
      <c r="B52" s="25"/>
    </row>
    <row r="53" spans="1:5">
      <c r="A53" s="25"/>
      <c r="B53" s="25"/>
      <c r="D53" s="25"/>
      <c r="E53" s="25"/>
    </row>
    <row r="54" spans="1:5">
      <c r="A54" s="25"/>
      <c r="B54" s="25"/>
      <c r="D54" s="25"/>
      <c r="E54" s="25"/>
    </row>
    <row r="55" spans="1:5">
      <c r="A55" s="25"/>
      <c r="B55" s="25"/>
      <c r="D55" s="25"/>
      <c r="E55" s="25"/>
    </row>
    <row r="56" spans="1:5">
      <c r="A56" s="25"/>
      <c r="B56" s="25"/>
      <c r="D56" s="25"/>
      <c r="E56" s="25"/>
    </row>
    <row r="57" spans="1:5">
      <c r="A57" s="25"/>
      <c r="B57" s="25"/>
      <c r="D57" s="25"/>
      <c r="E57" s="25"/>
    </row>
    <row r="58" spans="1:5">
      <c r="A58" s="25"/>
      <c r="B58" s="25"/>
      <c r="D58" s="25"/>
      <c r="E58" s="25"/>
    </row>
    <row r="59" spans="1:5">
      <c r="A59" s="25"/>
      <c r="B59" s="25"/>
      <c r="D59" s="25"/>
      <c r="E59" s="25"/>
    </row>
    <row r="60" spans="1:5">
      <c r="A60" s="25"/>
      <c r="B60" s="25"/>
      <c r="D60" s="25"/>
      <c r="E60" s="25"/>
    </row>
    <row r="61" spans="1:5">
      <c r="A61" s="25"/>
      <c r="B61" s="25"/>
      <c r="D61" s="25"/>
      <c r="E61" s="25"/>
    </row>
    <row r="62" spans="1:5">
      <c r="A62" s="25"/>
      <c r="B62" s="25"/>
      <c r="D62" s="25"/>
      <c r="E62" s="25"/>
    </row>
    <row r="63" spans="1:5">
      <c r="A63" s="25"/>
      <c r="B63" s="25"/>
      <c r="D63" s="25"/>
      <c r="E63" s="25"/>
    </row>
    <row r="64" spans="1:5">
      <c r="A64" s="25"/>
      <c r="B64" s="25"/>
      <c r="D64" s="25"/>
      <c r="E64" s="25"/>
    </row>
    <row r="65" spans="1:5">
      <c r="A65" s="25"/>
      <c r="B65" s="25"/>
      <c r="D65" s="25"/>
      <c r="E65" s="25"/>
    </row>
    <row r="66" spans="1:5">
      <c r="A66" s="25"/>
      <c r="B66" s="25"/>
      <c r="D66" s="25"/>
      <c r="E66" s="25"/>
    </row>
    <row r="67" spans="1:5">
      <c r="A67" s="25"/>
      <c r="B67" s="25"/>
      <c r="D67" s="25"/>
      <c r="E67" s="25"/>
    </row>
    <row r="68" spans="1:5">
      <c r="A68" s="25"/>
      <c r="B68" s="25"/>
      <c r="D68" s="25"/>
      <c r="E68" s="25"/>
    </row>
    <row r="69" spans="1:5">
      <c r="A69" s="25"/>
      <c r="B69" s="25"/>
      <c r="D69" s="25"/>
      <c r="E69" s="25"/>
    </row>
    <row r="70" spans="1:5">
      <c r="A70" s="25"/>
      <c r="B70" s="25"/>
      <c r="D70" s="25"/>
      <c r="E70" s="25"/>
    </row>
    <row r="71" spans="1:5">
      <c r="A71" s="25"/>
      <c r="B71" s="25"/>
      <c r="D71" s="25"/>
      <c r="E71" s="25"/>
    </row>
    <row r="72" spans="1:5">
      <c r="A72" s="25"/>
      <c r="B72" s="25"/>
      <c r="D72" s="25"/>
      <c r="E72" s="25"/>
    </row>
    <row r="73" spans="1:5">
      <c r="D73" s="25"/>
      <c r="E73" s="25"/>
    </row>
    <row r="74" spans="1:5">
      <c r="D74" s="25"/>
      <c r="E74" s="25"/>
    </row>
    <row r="75" spans="1:5">
      <c r="D75" s="25"/>
      <c r="E75" s="25"/>
    </row>
    <row r="76" spans="1:5">
      <c r="D76" s="25"/>
      <c r="E76" s="25"/>
    </row>
    <row r="77" spans="1:5">
      <c r="D77" s="25"/>
      <c r="E77" s="25"/>
    </row>
    <row r="78" spans="1:5">
      <c r="D78" s="25"/>
      <c r="E78" s="25"/>
    </row>
    <row r="79" spans="1:5">
      <c r="D79" s="25"/>
      <c r="E79" s="25"/>
    </row>
    <row r="80" spans="1:5">
      <c r="D80" s="25"/>
      <c r="E80" s="25"/>
    </row>
    <row r="81" spans="4:5">
      <c r="D81" s="25"/>
      <c r="E81" s="25"/>
    </row>
    <row r="82" spans="4:5">
      <c r="D82" s="25"/>
      <c r="E82" s="25"/>
    </row>
    <row r="83" spans="4:5">
      <c r="D83" s="25"/>
      <c r="E83" s="25"/>
    </row>
    <row r="84" spans="4:5">
      <c r="D84" s="25"/>
      <c r="E84" s="25"/>
    </row>
    <row r="85" spans="4:5">
      <c r="D85" s="25"/>
      <c r="E85" s="25"/>
    </row>
    <row r="86" spans="4:5">
      <c r="D86" s="25"/>
      <c r="E86" s="25"/>
    </row>
    <row r="87" spans="4:5">
      <c r="D87" s="25"/>
      <c r="E87" s="25"/>
    </row>
    <row r="88" spans="4:5">
      <c r="D88" s="25"/>
      <c r="E88" s="25"/>
    </row>
    <row r="89" spans="4:5">
      <c r="D89" s="25"/>
      <c r="E89" s="25"/>
    </row>
    <row r="90" spans="4:5">
      <c r="D90" s="25"/>
      <c r="E90" s="25"/>
    </row>
    <row r="91" spans="4:5">
      <c r="D91" s="25"/>
      <c r="E91" s="25"/>
    </row>
    <row r="92" spans="4:5">
      <c r="D92" s="25"/>
      <c r="E92" s="25"/>
    </row>
    <row r="93" spans="4:5">
      <c r="D93" s="25"/>
      <c r="E93" s="25"/>
    </row>
    <row r="94" spans="4:5">
      <c r="D94" s="25"/>
      <c r="E94" s="25"/>
    </row>
    <row r="95" spans="4:5">
      <c r="D95" s="25"/>
      <c r="E95" s="25"/>
    </row>
    <row r="96" spans="4:5">
      <c r="D96" s="25"/>
      <c r="E96" s="25"/>
    </row>
    <row r="97" spans="4:5">
      <c r="D97" s="25"/>
      <c r="E97" s="25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1F9F-23F7-D04D-945E-783BB6A91061}">
  <dimension ref="A1:V102"/>
  <sheetViews>
    <sheetView tabSelected="1" zoomScale="176" workbookViewId="0">
      <selection activeCell="I3" sqref="I3"/>
    </sheetView>
  </sheetViews>
  <sheetFormatPr baseColWidth="10" defaultColWidth="9.19921875" defaultRowHeight="12"/>
  <cols>
    <col min="1" max="1" width="39.59765625" style="3" bestFit="1" customWidth="1"/>
    <col min="2" max="2" width="10" style="26" bestFit="1" customWidth="1"/>
    <col min="3" max="3" width="10" style="3" bestFit="1" customWidth="1"/>
    <col min="4" max="4" width="11.59765625" style="3" bestFit="1" customWidth="1"/>
    <col min="5" max="5" width="10" style="3" bestFit="1" customWidth="1"/>
    <col min="6" max="6" width="7.19921875" style="3" customWidth="1"/>
    <col min="7" max="7" width="2.796875" style="3" customWidth="1"/>
    <col min="8" max="8" width="16.3984375" style="3" customWidth="1"/>
    <col min="9" max="9" width="6" style="3" bestFit="1" customWidth="1"/>
    <col min="10" max="10" width="6.59765625" style="3" customWidth="1"/>
    <col min="11" max="19" width="6.796875" style="3" bestFit="1" customWidth="1"/>
    <col min="20" max="22" width="9.796875" style="3" customWidth="1"/>
    <col min="23" max="23" width="3" style="3" bestFit="1" customWidth="1"/>
    <col min="24" max="249" width="9.796875" style="3" customWidth="1"/>
    <col min="250" max="16384" width="9.19921875" style="3"/>
  </cols>
  <sheetData>
    <row r="1" spans="1:22">
      <c r="A1" s="1" t="s">
        <v>1</v>
      </c>
      <c r="B1" s="1"/>
      <c r="C1" s="27"/>
      <c r="D1" s="27"/>
      <c r="E1" s="27"/>
      <c r="F1" s="27"/>
      <c r="G1" s="28"/>
    </row>
    <row r="2" spans="1:22" ht="13">
      <c r="A2" s="1" t="s">
        <v>27</v>
      </c>
      <c r="B2" s="40" t="s">
        <v>28</v>
      </c>
      <c r="C2" s="40" t="s">
        <v>29</v>
      </c>
      <c r="D2" s="40" t="s">
        <v>30</v>
      </c>
      <c r="E2" s="40" t="s">
        <v>31</v>
      </c>
      <c r="F2" s="40" t="s">
        <v>26</v>
      </c>
      <c r="G2" s="28"/>
      <c r="J2" s="53" t="s">
        <v>38</v>
      </c>
      <c r="K2" s="51"/>
      <c r="L2" s="51"/>
      <c r="M2" s="51"/>
      <c r="N2" s="51"/>
      <c r="O2" s="52"/>
    </row>
    <row r="3" spans="1:22">
      <c r="A3" s="4" t="s">
        <v>2</v>
      </c>
      <c r="B3" s="5"/>
      <c r="C3" s="28"/>
      <c r="D3" s="28"/>
      <c r="E3" s="28"/>
      <c r="F3" s="28"/>
      <c r="G3" s="28"/>
      <c r="I3" s="46">
        <f>F28</f>
        <v>78.316550000000007</v>
      </c>
      <c r="J3" s="54">
        <v>25</v>
      </c>
      <c r="K3" s="54">
        <v>26</v>
      </c>
      <c r="L3" s="54">
        <v>27</v>
      </c>
      <c r="M3" s="54">
        <v>28</v>
      </c>
      <c r="N3" s="54">
        <v>29</v>
      </c>
      <c r="O3" s="54">
        <v>30</v>
      </c>
    </row>
    <row r="4" spans="1:22">
      <c r="A4" s="6" t="s">
        <v>3</v>
      </c>
      <c r="B4" s="7">
        <v>9.35</v>
      </c>
      <c r="C4" s="7">
        <f>$B$4+C6</f>
        <v>8.35</v>
      </c>
      <c r="D4" s="7">
        <f>$B$4+D6</f>
        <v>9.6</v>
      </c>
      <c r="E4" s="7">
        <f>$B$4+E6</f>
        <v>9.35</v>
      </c>
      <c r="F4" s="8"/>
      <c r="G4" s="28"/>
      <c r="I4" s="47">
        <v>9.3000000000000007</v>
      </c>
      <c r="J4" s="55"/>
      <c r="K4" s="56"/>
      <c r="L4" s="56"/>
      <c r="M4" s="56"/>
      <c r="N4" s="56"/>
      <c r="O4" s="56"/>
      <c r="V4" s="3">
        <v>31</v>
      </c>
    </row>
    <row r="5" spans="1:22">
      <c r="A5" s="4" t="s">
        <v>5</v>
      </c>
      <c r="B5" s="8"/>
      <c r="C5" s="8"/>
      <c r="D5" s="8"/>
      <c r="E5" s="8"/>
      <c r="F5" s="8"/>
      <c r="G5" s="28"/>
      <c r="I5" s="47">
        <v>9.35</v>
      </c>
      <c r="J5" s="55"/>
      <c r="K5" s="56"/>
      <c r="L5" s="56"/>
      <c r="M5" s="56"/>
      <c r="N5" s="56"/>
      <c r="O5" s="56"/>
    </row>
    <row r="6" spans="1:22">
      <c r="A6" s="22" t="s">
        <v>32</v>
      </c>
      <c r="B6" s="43"/>
      <c r="C6" s="44">
        <v>-1</v>
      </c>
      <c r="D6" s="43">
        <v>0.25</v>
      </c>
      <c r="E6" s="43">
        <v>0</v>
      </c>
      <c r="F6" s="8"/>
      <c r="G6" s="28"/>
      <c r="I6" s="47">
        <v>9.4</v>
      </c>
      <c r="J6" s="55"/>
      <c r="K6" s="56"/>
      <c r="L6" s="56"/>
      <c r="M6" s="56"/>
      <c r="N6" s="56"/>
      <c r="O6" s="56"/>
    </row>
    <row r="7" spans="1:22">
      <c r="A7" s="16" t="s">
        <v>7</v>
      </c>
      <c r="B7" s="7">
        <v>3.48</v>
      </c>
      <c r="C7" s="7">
        <v>2.2000000000000002</v>
      </c>
      <c r="D7" s="7">
        <v>3.9</v>
      </c>
      <c r="E7" s="7">
        <v>3.1</v>
      </c>
      <c r="F7" s="8"/>
      <c r="G7" s="28"/>
      <c r="I7" s="47">
        <v>9.4499999999999993</v>
      </c>
      <c r="J7" s="55"/>
      <c r="K7" s="56"/>
      <c r="L7" s="56"/>
      <c r="M7" s="56"/>
      <c r="N7" s="56"/>
      <c r="O7" s="56"/>
    </row>
    <row r="8" spans="1:22">
      <c r="A8" s="16" t="s">
        <v>8</v>
      </c>
      <c r="B8" s="17">
        <v>0.3</v>
      </c>
      <c r="C8" s="17">
        <v>0.28000000000000003</v>
      </c>
      <c r="D8" s="17">
        <v>0.35</v>
      </c>
      <c r="E8" s="17">
        <v>0.33</v>
      </c>
      <c r="F8" s="41"/>
      <c r="G8" s="28"/>
      <c r="I8" s="47">
        <v>9.5</v>
      </c>
      <c r="J8" s="55"/>
      <c r="K8" s="56"/>
      <c r="L8" s="56"/>
      <c r="M8" s="56"/>
      <c r="N8" s="56"/>
      <c r="O8" s="56"/>
    </row>
    <row r="9" spans="1:22">
      <c r="A9" s="16" t="s">
        <v>38</v>
      </c>
      <c r="B9" s="41"/>
      <c r="C9" s="41"/>
      <c r="D9" s="41"/>
      <c r="E9" s="41"/>
      <c r="F9" s="48">
        <v>25</v>
      </c>
      <c r="G9" s="28"/>
      <c r="I9" s="47">
        <v>9.5500000000000007</v>
      </c>
      <c r="J9" s="55"/>
      <c r="K9" s="56"/>
      <c r="L9" s="56"/>
      <c r="M9" s="56"/>
      <c r="N9" s="56"/>
      <c r="O9" s="56"/>
    </row>
    <row r="10" spans="1:22">
      <c r="A10" s="16" t="s">
        <v>36</v>
      </c>
      <c r="B10" s="41"/>
      <c r="C10" s="41"/>
      <c r="D10" s="41"/>
      <c r="E10" s="41"/>
      <c r="F10" s="49">
        <v>0.8</v>
      </c>
      <c r="G10" s="28"/>
      <c r="I10" s="47">
        <v>9.6</v>
      </c>
      <c r="J10" s="55"/>
      <c r="K10" s="56"/>
      <c r="L10" s="56"/>
      <c r="M10" s="56"/>
      <c r="N10" s="56"/>
      <c r="O10" s="56"/>
    </row>
    <row r="11" spans="1:22">
      <c r="A11" s="20" t="s">
        <v>9</v>
      </c>
      <c r="B11" s="18"/>
      <c r="C11" s="18"/>
      <c r="D11" s="18"/>
      <c r="E11" s="18"/>
      <c r="F11" s="19">
        <v>33</v>
      </c>
      <c r="G11" s="28"/>
      <c r="I11" s="47">
        <v>9.65</v>
      </c>
      <c r="J11" s="55"/>
      <c r="K11" s="56"/>
      <c r="L11" s="56"/>
      <c r="M11" s="56"/>
      <c r="N11" s="56"/>
      <c r="O11" s="56"/>
    </row>
    <row r="12" spans="1:22" ht="12.5" customHeight="1">
      <c r="A12" s="22" t="s">
        <v>21</v>
      </c>
      <c r="B12" s="18"/>
      <c r="C12" s="18"/>
      <c r="D12" s="18"/>
      <c r="E12" s="18"/>
      <c r="F12" s="18"/>
      <c r="G12" s="28"/>
      <c r="I12" s="47">
        <v>9.6999999999999993</v>
      </c>
      <c r="J12" s="55"/>
      <c r="K12" s="56"/>
      <c r="L12" s="56"/>
      <c r="M12" s="56"/>
      <c r="N12" s="56"/>
      <c r="O12" s="56"/>
    </row>
    <row r="13" spans="1:22" ht="12.5" customHeight="1">
      <c r="A13" s="30" t="s">
        <v>17</v>
      </c>
      <c r="B13" s="10">
        <v>48</v>
      </c>
      <c r="C13" s="10">
        <v>43</v>
      </c>
      <c r="D13" s="10">
        <v>50</v>
      </c>
      <c r="E13" s="10">
        <v>49</v>
      </c>
      <c r="F13" s="11"/>
      <c r="G13" s="28"/>
      <c r="I13" s="47">
        <v>9.75</v>
      </c>
      <c r="J13" s="55"/>
      <c r="K13" s="56"/>
      <c r="L13" s="56"/>
      <c r="M13" s="56"/>
      <c r="N13" s="56"/>
      <c r="O13" s="56"/>
    </row>
    <row r="14" spans="1:22" ht="12.5" customHeight="1">
      <c r="A14" s="30" t="s">
        <v>18</v>
      </c>
      <c r="B14" s="10">
        <v>-4</v>
      </c>
      <c r="C14" s="10">
        <v>-4.4000000000000004</v>
      </c>
      <c r="D14" s="10">
        <v>-4.3</v>
      </c>
      <c r="E14" s="10">
        <v>-4.5</v>
      </c>
      <c r="F14" s="11"/>
      <c r="G14" s="28"/>
      <c r="I14" s="47">
        <v>9.8000000000000007</v>
      </c>
      <c r="J14" s="55"/>
      <c r="K14" s="56"/>
      <c r="L14" s="56"/>
      <c r="M14" s="56"/>
      <c r="N14" s="56"/>
      <c r="O14" s="56"/>
    </row>
    <row r="15" spans="1:22" ht="12.5" customHeight="1">
      <c r="A15" s="22" t="s">
        <v>25</v>
      </c>
      <c r="B15" s="11"/>
      <c r="C15" s="11"/>
      <c r="D15" s="11"/>
      <c r="E15" s="11"/>
      <c r="F15" s="11"/>
      <c r="G15" s="28"/>
      <c r="I15" s="47">
        <v>9.85</v>
      </c>
      <c r="J15" s="55"/>
      <c r="K15" s="56"/>
      <c r="L15" s="56"/>
      <c r="M15" s="56"/>
      <c r="N15" s="56"/>
      <c r="O15" s="56"/>
    </row>
    <row r="16" spans="1:22" ht="12.5" customHeight="1">
      <c r="A16" s="30" t="s">
        <v>17</v>
      </c>
      <c r="B16" s="45">
        <v>-14.339</v>
      </c>
      <c r="C16" s="45">
        <v>-11.66</v>
      </c>
      <c r="D16" s="45">
        <v>-13.29</v>
      </c>
      <c r="E16" s="45">
        <v>-12.3</v>
      </c>
      <c r="F16" s="42"/>
      <c r="G16" s="28"/>
      <c r="I16" s="47">
        <v>9.9</v>
      </c>
      <c r="J16" s="55"/>
      <c r="K16" s="56"/>
      <c r="L16" s="56"/>
      <c r="M16" s="56"/>
      <c r="N16" s="56"/>
      <c r="O16" s="56"/>
    </row>
    <row r="17" spans="1:19">
      <c r="A17" s="30" t="s">
        <v>18</v>
      </c>
      <c r="B17" s="45">
        <v>3.375</v>
      </c>
      <c r="C17" s="45">
        <v>4.45</v>
      </c>
      <c r="D17" s="45">
        <v>3.62</v>
      </c>
      <c r="E17" s="45">
        <v>3.25</v>
      </c>
      <c r="F17" s="11"/>
      <c r="G17" s="28"/>
      <c r="I17" s="47"/>
    </row>
    <row r="18" spans="1:19">
      <c r="A18" s="4" t="s">
        <v>19</v>
      </c>
      <c r="B18" s="18"/>
      <c r="C18" s="18"/>
      <c r="D18" s="18"/>
      <c r="E18" s="18"/>
      <c r="F18" s="18"/>
      <c r="G18" s="28"/>
    </row>
    <row r="19" spans="1:19">
      <c r="A19" s="22" t="s">
        <v>20</v>
      </c>
      <c r="B19" s="31">
        <f>B13+B14*B4</f>
        <v>10.600000000000001</v>
      </c>
      <c r="C19" s="31">
        <f>C13+C14*C4</f>
        <v>6.259999999999998</v>
      </c>
      <c r="D19" s="31">
        <f>D13+D14*D4</f>
        <v>8.720000000000006</v>
      </c>
      <c r="E19" s="31">
        <f>E13+E14*E4</f>
        <v>6.9250000000000043</v>
      </c>
      <c r="F19" s="31">
        <f>SUM(B19:E19)</f>
        <v>32.50500000000001</v>
      </c>
      <c r="G19" s="28"/>
    </row>
    <row r="20" spans="1:19">
      <c r="A20" s="4" t="s">
        <v>10</v>
      </c>
      <c r="B20" s="18"/>
      <c r="C20" s="18"/>
      <c r="D20" s="18"/>
      <c r="E20" s="18"/>
      <c r="F20" s="18"/>
      <c r="G20" s="28"/>
    </row>
    <row r="21" spans="1:19">
      <c r="A21" s="6" t="s">
        <v>11</v>
      </c>
      <c r="B21" s="19">
        <f>B19*B4</f>
        <v>99.110000000000014</v>
      </c>
      <c r="C21" s="19">
        <f>C19*C4</f>
        <v>52.270999999999979</v>
      </c>
      <c r="D21" s="19">
        <f>D19*D4</f>
        <v>83.71200000000006</v>
      </c>
      <c r="E21" s="19">
        <f>E19*E4</f>
        <v>64.748750000000044</v>
      </c>
      <c r="F21" s="19">
        <f>SUM(B21:E21)</f>
        <v>299.8417500000001</v>
      </c>
      <c r="G21" s="28"/>
      <c r="J21" s="69" t="s">
        <v>42</v>
      </c>
      <c r="K21" s="69"/>
      <c r="L21" s="69"/>
      <c r="M21" s="69"/>
      <c r="N21" s="69"/>
      <c r="O21" s="69"/>
      <c r="P21" s="69"/>
      <c r="Q21" s="69"/>
      <c r="R21" s="69"/>
      <c r="S21" s="69"/>
    </row>
    <row r="22" spans="1:19">
      <c r="A22" s="16" t="s">
        <v>34</v>
      </c>
      <c r="B22" s="19">
        <f>B16+B17*B19</f>
        <v>21.436000000000007</v>
      </c>
      <c r="C22" s="19">
        <f>C16+C17*C19</f>
        <v>16.196999999999992</v>
      </c>
      <c r="D22" s="19">
        <f>D16+D17*D19</f>
        <v>18.276400000000024</v>
      </c>
      <c r="E22" s="19">
        <f>E16+E17*E19</f>
        <v>10.206250000000015</v>
      </c>
      <c r="F22" s="19">
        <f>SUM(B22:E22)</f>
        <v>66.115650000000031</v>
      </c>
      <c r="G22" s="28"/>
      <c r="J22" s="68">
        <v>9.35</v>
      </c>
      <c r="K22" s="68">
        <v>9.4</v>
      </c>
      <c r="L22" s="68">
        <v>9.4499999999999993</v>
      </c>
      <c r="M22" s="68">
        <v>9.5</v>
      </c>
      <c r="N22" s="68">
        <v>9.5500000000000007</v>
      </c>
      <c r="O22" s="68">
        <v>9.6</v>
      </c>
      <c r="P22" s="68">
        <v>9.65</v>
      </c>
      <c r="Q22" s="68">
        <v>9.6999999999999993</v>
      </c>
      <c r="R22" s="68">
        <v>9.75</v>
      </c>
      <c r="S22" s="68">
        <v>9.8000000000000007</v>
      </c>
    </row>
    <row r="23" spans="1:19">
      <c r="A23" s="16" t="s">
        <v>35</v>
      </c>
      <c r="B23" s="18"/>
      <c r="C23" s="18"/>
      <c r="D23" s="18"/>
      <c r="E23" s="18"/>
      <c r="F23" s="32">
        <f>IF(F19&gt;F9,F10*(F19-F9),0)</f>
        <v>6.0040000000000084</v>
      </c>
      <c r="G23" s="28"/>
      <c r="H23" s="35" t="s">
        <v>40</v>
      </c>
      <c r="I23" s="57">
        <f>F19</f>
        <v>32.50500000000001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</row>
    <row r="24" spans="1:19">
      <c r="A24" s="22" t="s">
        <v>13</v>
      </c>
      <c r="B24" s="23">
        <f>(B7+B8)*B19</f>
        <v>40.068000000000005</v>
      </c>
      <c r="C24" s="23">
        <f>(C7+C8)*C19</f>
        <v>15.524799999999997</v>
      </c>
      <c r="D24" s="23">
        <f>(D7+D8)*D19</f>
        <v>37.060000000000024</v>
      </c>
      <c r="E24" s="23">
        <f>(E7+E8)*E19</f>
        <v>23.752750000000017</v>
      </c>
      <c r="F24" s="23">
        <f>SUM(B24:E24)</f>
        <v>116.40555000000005</v>
      </c>
      <c r="G24" s="28"/>
      <c r="H24" s="1" t="s">
        <v>11</v>
      </c>
      <c r="I24" s="58">
        <f>F21</f>
        <v>299.8417500000001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</row>
    <row r="25" spans="1:19">
      <c r="A25" s="3" t="s">
        <v>37</v>
      </c>
      <c r="B25" s="19">
        <f>SUM(B22:B24)</f>
        <v>61.504000000000012</v>
      </c>
      <c r="C25" s="19">
        <f>SUM(C22:C24)</f>
        <v>31.721799999999988</v>
      </c>
      <c r="D25" s="19">
        <f>SUM(D22:D24)</f>
        <v>55.336400000000047</v>
      </c>
      <c r="E25" s="19">
        <f>SUM(E22:E24)</f>
        <v>33.959000000000032</v>
      </c>
      <c r="F25" s="19">
        <f>SUM(F22:F24)</f>
        <v>188.5252000000001</v>
      </c>
      <c r="G25" s="28"/>
      <c r="H25" s="1" t="s">
        <v>35</v>
      </c>
      <c r="I25" s="59">
        <f>F23</f>
        <v>6.0040000000000084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>
      <c r="A26" s="3" t="s">
        <v>33</v>
      </c>
      <c r="B26" s="17">
        <f>B21-B25</f>
        <v>37.606000000000002</v>
      </c>
      <c r="C26" s="17">
        <f>C21-C25</f>
        <v>20.549199999999992</v>
      </c>
      <c r="D26" s="17">
        <f>D21-D25</f>
        <v>28.375600000000013</v>
      </c>
      <c r="E26" s="17">
        <f>E21-E25</f>
        <v>30.789750000000012</v>
      </c>
      <c r="F26" s="19">
        <f>F21-F25</f>
        <v>111.31655000000001</v>
      </c>
      <c r="G26" s="28"/>
      <c r="H26" s="1" t="s">
        <v>39</v>
      </c>
      <c r="I26" s="58">
        <f>F28</f>
        <v>78.316550000000007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7" spans="1:19">
      <c r="A27" s="16" t="s">
        <v>15</v>
      </c>
      <c r="B27" s="41"/>
      <c r="C27" s="41"/>
      <c r="D27" s="41"/>
      <c r="E27" s="41"/>
      <c r="F27" s="23">
        <f>F11</f>
        <v>33</v>
      </c>
      <c r="G27" s="28"/>
    </row>
    <row r="28" spans="1:19">
      <c r="A28" s="6" t="s">
        <v>16</v>
      </c>
      <c r="B28" s="41"/>
      <c r="C28" s="41"/>
      <c r="D28" s="41"/>
      <c r="E28" s="41"/>
      <c r="F28" s="19">
        <f>F26-F27</f>
        <v>78.316550000000007</v>
      </c>
      <c r="G28" s="28"/>
    </row>
    <row r="29" spans="1:19">
      <c r="A29" s="21"/>
      <c r="B29" s="18"/>
      <c r="C29" s="18"/>
      <c r="D29" s="18"/>
      <c r="E29" s="18"/>
      <c r="F29" s="18"/>
      <c r="G29" s="28"/>
    </row>
    <row r="30" spans="1:19">
      <c r="A30" s="22"/>
      <c r="B30" s="19"/>
      <c r="C30" s="19"/>
      <c r="D30" s="19"/>
      <c r="E30" s="19"/>
      <c r="F30" s="19"/>
    </row>
    <row r="31" spans="1:19">
      <c r="A31" s="22"/>
      <c r="B31" s="19"/>
      <c r="C31" s="19"/>
      <c r="D31" s="19"/>
      <c r="E31" s="19"/>
      <c r="F31" s="19"/>
    </row>
    <row r="32" spans="1:19">
      <c r="A32" s="22"/>
      <c r="B32" s="19"/>
      <c r="C32" s="19"/>
      <c r="D32" s="19"/>
      <c r="E32" s="19"/>
      <c r="F32" s="19"/>
    </row>
    <row r="33" spans="1:6">
      <c r="A33" s="22"/>
      <c r="B33" s="7"/>
      <c r="C33" s="7"/>
      <c r="D33" s="7"/>
      <c r="E33" s="7"/>
      <c r="F33" s="7"/>
    </row>
    <row r="34" spans="1:6">
      <c r="A34" s="33"/>
      <c r="B34" s="34"/>
      <c r="C34" s="34"/>
      <c r="D34" s="34"/>
      <c r="E34" s="34"/>
      <c r="F34" s="34"/>
    </row>
    <row r="35" spans="1:6">
      <c r="A35" s="33"/>
      <c r="B35" s="34"/>
      <c r="C35" s="34"/>
      <c r="D35" s="34"/>
      <c r="E35" s="34"/>
      <c r="F35" s="34"/>
    </row>
    <row r="36" spans="1:6">
      <c r="A36" s="16"/>
      <c r="B36" s="19"/>
      <c r="C36" s="19"/>
      <c r="D36" s="19"/>
      <c r="E36" s="19"/>
      <c r="F36" s="19"/>
    </row>
    <row r="37" spans="1:6">
      <c r="A37" s="33"/>
      <c r="B37" s="34"/>
      <c r="C37" s="34"/>
      <c r="D37" s="34"/>
      <c r="E37" s="34"/>
      <c r="F37" s="34"/>
    </row>
    <row r="38" spans="1:6">
      <c r="A38" s="33"/>
      <c r="B38" s="34"/>
      <c r="C38" s="34"/>
      <c r="D38" s="34"/>
      <c r="E38" s="34"/>
      <c r="F38" s="34"/>
    </row>
    <row r="39" spans="1:6">
      <c r="A39" s="35"/>
      <c r="C39" s="26"/>
      <c r="D39" s="26"/>
      <c r="E39" s="26"/>
      <c r="F39" s="26"/>
    </row>
    <row r="40" spans="1:6">
      <c r="A40" s="6"/>
      <c r="B40" s="36"/>
      <c r="C40" s="36"/>
      <c r="D40" s="36"/>
      <c r="E40" s="36"/>
      <c r="F40" s="36"/>
    </row>
    <row r="41" spans="1:6">
      <c r="A41" s="35"/>
      <c r="C41" s="26"/>
      <c r="D41" s="26"/>
      <c r="E41" s="26"/>
      <c r="F41" s="26"/>
    </row>
    <row r="42" spans="1:6">
      <c r="A42" s="6"/>
      <c r="B42" s="37"/>
      <c r="C42" s="37"/>
      <c r="D42" s="37"/>
      <c r="E42" s="37"/>
      <c r="F42" s="37"/>
    </row>
    <row r="43" spans="1:6">
      <c r="A43" s="16"/>
      <c r="B43" s="37"/>
      <c r="C43" s="37"/>
      <c r="D43" s="37"/>
      <c r="E43" s="37"/>
      <c r="F43" s="37"/>
    </row>
    <row r="44" spans="1:6">
      <c r="A44" s="16"/>
      <c r="B44" s="37"/>
      <c r="C44" s="37"/>
      <c r="D44" s="37"/>
      <c r="E44" s="37"/>
      <c r="F44" s="37"/>
    </row>
    <row r="45" spans="1:6">
      <c r="A45" s="16"/>
      <c r="B45" s="38"/>
      <c r="C45" s="38"/>
      <c r="D45" s="38"/>
      <c r="E45" s="38"/>
      <c r="F45" s="38"/>
    </row>
    <row r="46" spans="1:6">
      <c r="A46" s="6"/>
      <c r="B46" s="38"/>
      <c r="C46" s="38"/>
      <c r="D46" s="38"/>
      <c r="E46" s="38"/>
      <c r="F46" s="38"/>
    </row>
    <row r="47" spans="1:6">
      <c r="A47" s="6"/>
      <c r="B47" s="37"/>
      <c r="C47" s="37"/>
      <c r="D47" s="37"/>
      <c r="E47" s="37"/>
      <c r="F47" s="37"/>
    </row>
    <row r="50" spans="1:5">
      <c r="B50" s="24"/>
    </row>
    <row r="51" spans="1:5">
      <c r="A51" s="25"/>
      <c r="B51" s="25"/>
    </row>
    <row r="52" spans="1:5">
      <c r="A52" s="25"/>
      <c r="B52" s="25"/>
    </row>
    <row r="53" spans="1:5">
      <c r="A53" s="25"/>
      <c r="B53" s="25"/>
    </row>
    <row r="54" spans="1:5">
      <c r="A54" s="25"/>
      <c r="B54" s="25"/>
    </row>
    <row r="55" spans="1:5">
      <c r="A55" s="25"/>
      <c r="B55" s="25"/>
    </row>
    <row r="56" spans="1:5">
      <c r="A56" s="25"/>
      <c r="B56" s="25"/>
    </row>
    <row r="57" spans="1:5">
      <c r="A57" s="25"/>
      <c r="B57" s="25"/>
    </row>
    <row r="58" spans="1:5">
      <c r="A58" s="25"/>
      <c r="B58" s="25"/>
      <c r="D58" s="25"/>
      <c r="E58" s="25"/>
    </row>
    <row r="59" spans="1:5">
      <c r="A59" s="25"/>
      <c r="B59" s="25"/>
      <c r="D59" s="25"/>
      <c r="E59" s="25"/>
    </row>
    <row r="60" spans="1:5">
      <c r="A60" s="25"/>
      <c r="B60" s="25"/>
      <c r="D60" s="25"/>
      <c r="E60" s="25"/>
    </row>
    <row r="61" spans="1:5">
      <c r="A61" s="25"/>
      <c r="B61" s="25"/>
      <c r="D61" s="25"/>
      <c r="E61" s="25"/>
    </row>
    <row r="62" spans="1:5">
      <c r="A62" s="25"/>
      <c r="B62" s="25"/>
      <c r="D62" s="25"/>
      <c r="E62" s="25"/>
    </row>
    <row r="63" spans="1:5">
      <c r="A63" s="25"/>
      <c r="B63" s="25"/>
      <c r="D63" s="25"/>
      <c r="E63" s="25"/>
    </row>
    <row r="64" spans="1:5">
      <c r="A64" s="25"/>
      <c r="B64" s="25"/>
      <c r="D64" s="25"/>
      <c r="E64" s="25"/>
    </row>
    <row r="65" spans="1:5">
      <c r="A65" s="25"/>
      <c r="B65" s="25"/>
      <c r="D65" s="25"/>
      <c r="E65" s="25"/>
    </row>
    <row r="66" spans="1:5">
      <c r="A66" s="25"/>
      <c r="B66" s="25"/>
      <c r="D66" s="25"/>
      <c r="E66" s="25"/>
    </row>
    <row r="67" spans="1:5">
      <c r="A67" s="25"/>
      <c r="B67" s="25"/>
      <c r="D67" s="25"/>
      <c r="E67" s="25"/>
    </row>
    <row r="68" spans="1:5">
      <c r="A68" s="25"/>
      <c r="B68" s="25"/>
      <c r="D68" s="25"/>
      <c r="E68" s="25"/>
    </row>
    <row r="69" spans="1:5">
      <c r="A69" s="25"/>
      <c r="B69" s="25"/>
      <c r="D69" s="25"/>
      <c r="E69" s="25"/>
    </row>
    <row r="70" spans="1:5">
      <c r="A70" s="25"/>
      <c r="B70" s="25"/>
      <c r="D70" s="25"/>
      <c r="E70" s="25"/>
    </row>
    <row r="71" spans="1:5">
      <c r="A71" s="25"/>
      <c r="B71" s="25"/>
      <c r="D71" s="25"/>
      <c r="E71" s="25"/>
    </row>
    <row r="72" spans="1:5">
      <c r="A72" s="25"/>
      <c r="B72" s="25"/>
      <c r="D72" s="25"/>
      <c r="E72" s="25"/>
    </row>
    <row r="73" spans="1:5">
      <c r="A73" s="25"/>
      <c r="B73" s="25"/>
      <c r="D73" s="25"/>
      <c r="E73" s="25"/>
    </row>
    <row r="74" spans="1:5">
      <c r="A74" s="25"/>
      <c r="B74" s="25"/>
      <c r="D74" s="25"/>
      <c r="E74" s="25"/>
    </row>
    <row r="75" spans="1:5">
      <c r="A75" s="25"/>
      <c r="B75" s="25"/>
      <c r="D75" s="25"/>
      <c r="E75" s="25"/>
    </row>
    <row r="76" spans="1:5">
      <c r="A76" s="25"/>
      <c r="B76" s="25"/>
      <c r="D76" s="25"/>
      <c r="E76" s="25"/>
    </row>
    <row r="77" spans="1:5">
      <c r="A77" s="25"/>
      <c r="B77" s="25"/>
      <c r="D77" s="25"/>
      <c r="E77" s="25"/>
    </row>
    <row r="78" spans="1:5">
      <c r="D78" s="25"/>
      <c r="E78" s="25"/>
    </row>
    <row r="79" spans="1:5">
      <c r="D79" s="25"/>
      <c r="E79" s="25"/>
    </row>
    <row r="80" spans="1:5">
      <c r="D80" s="25"/>
      <c r="E80" s="25"/>
    </row>
    <row r="81" spans="4:5">
      <c r="D81" s="25"/>
      <c r="E81" s="25"/>
    </row>
    <row r="82" spans="4:5">
      <c r="D82" s="25"/>
      <c r="E82" s="25"/>
    </row>
    <row r="83" spans="4:5">
      <c r="D83" s="25"/>
      <c r="E83" s="25"/>
    </row>
    <row r="84" spans="4:5">
      <c r="D84" s="25"/>
      <c r="E84" s="25"/>
    </row>
    <row r="85" spans="4:5">
      <c r="D85" s="25"/>
      <c r="E85" s="25"/>
    </row>
    <row r="86" spans="4:5">
      <c r="D86" s="25"/>
      <c r="E86" s="25"/>
    </row>
    <row r="87" spans="4:5">
      <c r="D87" s="25"/>
      <c r="E87" s="25"/>
    </row>
    <row r="88" spans="4:5">
      <c r="D88" s="25"/>
      <c r="E88" s="25"/>
    </row>
    <row r="89" spans="4:5">
      <c r="D89" s="25"/>
      <c r="E89" s="25"/>
    </row>
    <row r="90" spans="4:5">
      <c r="D90" s="25"/>
      <c r="E90" s="25"/>
    </row>
    <row r="91" spans="4:5">
      <c r="D91" s="25"/>
      <c r="E91" s="25"/>
    </row>
    <row r="92" spans="4:5">
      <c r="D92" s="25"/>
      <c r="E92" s="25"/>
    </row>
    <row r="93" spans="4:5">
      <c r="D93" s="25"/>
      <c r="E93" s="25"/>
    </row>
    <row r="94" spans="4:5">
      <c r="D94" s="25"/>
      <c r="E94" s="25"/>
    </row>
    <row r="95" spans="4:5">
      <c r="D95" s="25"/>
      <c r="E95" s="25"/>
    </row>
    <row r="96" spans="4:5">
      <c r="D96" s="25"/>
      <c r="E96" s="25"/>
    </row>
    <row r="97" spans="4:5">
      <c r="D97" s="25"/>
      <c r="E97" s="25"/>
    </row>
    <row r="98" spans="4:5">
      <c r="D98" s="25"/>
      <c r="E98" s="25"/>
    </row>
    <row r="99" spans="4:5">
      <c r="D99" s="25"/>
      <c r="E99" s="25"/>
    </row>
    <row r="100" spans="4:5">
      <c r="D100" s="25"/>
      <c r="E100" s="25"/>
    </row>
    <row r="101" spans="4:5">
      <c r="D101" s="25"/>
      <c r="E101" s="25"/>
    </row>
    <row r="102" spans="4:5">
      <c r="D102" s="25"/>
      <c r="E102" s="25"/>
    </row>
  </sheetData>
  <mergeCells count="1">
    <mergeCell ref="J21:S21"/>
  </mergeCells>
  <phoneticPr fontId="0" type="noConversion"/>
  <pageMargins left="0.75" right="0.75" top="1" bottom="1" header="0.5" footer="0.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Модель1</vt:lpstr>
      <vt:lpstr>Модель1М</vt:lpstr>
      <vt:lpstr>Альтернативи</vt:lpstr>
      <vt:lpstr>Аналіз</vt:lpstr>
      <vt:lpstr>Графік_таблиці</vt:lpstr>
    </vt:vector>
  </TitlesOfParts>
  <Company>GSB, 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Moore</dc:creator>
  <cp:lastModifiedBy>Yaroslav Vyklyuk</cp:lastModifiedBy>
  <dcterms:created xsi:type="dcterms:W3CDTF">1997-02-04T01:17:25Z</dcterms:created>
  <dcterms:modified xsi:type="dcterms:W3CDTF">2026-09-07T05:44:01Z</dcterms:modified>
</cp:coreProperties>
</file>
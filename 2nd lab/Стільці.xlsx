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yklyuk/Documents/Vykladannya/Інтелектуальний аналіз даних/Claude/2026/Lecture 2/"/>
    </mc:Choice>
  </mc:AlternateContent>
  <xr:revisionPtr revIDLastSave="0" documentId="13_ncr:1_{601D249E-67C3-B44E-9532-F9902F78742D}" xr6:coauthVersionLast="47" xr6:coauthVersionMax="47" xr10:uidLastSave="{00000000-0000-0000-0000-000000000000}"/>
  <bookViews>
    <workbookView xWindow="4360" yWindow="600" windowWidth="30200" windowHeight="19820" tabRatio="508" xr2:uid="{00000000-000D-0000-FFFF-FFFF00000000}"/>
  </bookViews>
  <sheets>
    <sheet name="Модель" sheetId="1" r:id="rId1"/>
    <sheet name="Модель1" sheetId="25" r:id="rId2"/>
  </sheets>
  <definedNames>
    <definedName name="solver_adj" localSheetId="0" hidden="1">Модель!$B$4:$C$4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bd" localSheetId="0" hidden="1">2</definedName>
    <definedName name="solver_ibd" localSheetId="1" hidden="1">2</definedName>
    <definedName name="solver_itr" localSheetId="0" hidden="1">100</definedName>
    <definedName name="solver_itr" localSheetId="1" hidden="1">100</definedName>
    <definedName name="solver_lhs1" localSheetId="0" hidden="1">Модель!$D$6:$D$10</definedName>
    <definedName name="solver_lhs1" localSheetId="1" hidden="1">Модель1!$H$6:$H$16</definedName>
    <definedName name="solver_lhs2" localSheetId="0" hidden="1">Модель!$D$12</definedName>
    <definedName name="solver_lhs2" localSheetId="1" hidden="1">Модель1!$G$4</definedName>
    <definedName name="solver_lhs3" localSheetId="0" hidden="1">Модель!$C$4</definedName>
    <definedName name="solver_lhs4" localSheetId="0" hidden="1">Модель!$C$4</definedName>
    <definedName name="solver_lin" localSheetId="0" hidden="1">2</definedName>
    <definedName name="solver_lin" localSheetId="1" hidden="1">2</definedName>
    <definedName name="solver_lva" localSheetId="0" hidden="1">2</definedName>
    <definedName name="solver_lva" localSheetId="1" hidden="1">2</definedName>
    <definedName name="solver_mip" localSheetId="0" hidden="1">5000</definedName>
    <definedName name="solver_mip" localSheetId="1" hidden="1">5000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neg" localSheetId="0" hidden="1">2</definedName>
    <definedName name="solver_neg" localSheetId="1" hidden="1">2</definedName>
    <definedName name="solver_nod" localSheetId="0" hidden="1">5000</definedName>
    <definedName name="solver_nod" localSheetId="1" hidden="1">5000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fx" localSheetId="0" hidden="1">2</definedName>
    <definedName name="solver_ofx" localSheetId="1" hidden="1">2</definedName>
    <definedName name="solver_opt" localSheetId="0" hidden="1">Модель!$D$4</definedName>
    <definedName name="solver_piv" localSheetId="0" hidden="1">0.000001</definedName>
    <definedName name="solver_piv" localSheetId="1" hidden="1">0.000001</definedName>
    <definedName name="solver_pre" localSheetId="0" hidden="1">0.000001</definedName>
    <definedName name="solver_pre" localSheetId="1" hidden="1">0.000001</definedName>
    <definedName name="solver_pro" localSheetId="0" hidden="1">2</definedName>
    <definedName name="solver_pro" localSheetId="1" hidden="1">2</definedName>
    <definedName name="solver_rbv" localSheetId="0" hidden="1">1</definedName>
    <definedName name="solver_rbv" localSheetId="1" hidden="1">1</definedName>
    <definedName name="solver_red" localSheetId="0" hidden="1">0.000001</definedName>
    <definedName name="solver_red" localSheetId="1" hidden="1">0.000001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2</definedName>
    <definedName name="solver_rel3" localSheetId="0" hidden="1">1</definedName>
    <definedName name="solver_rel4" localSheetId="0" hidden="1">1</definedName>
    <definedName name="solver_reo" localSheetId="0" hidden="1">2</definedName>
    <definedName name="solver_reo" localSheetId="1" hidden="1">2</definedName>
    <definedName name="solver_rep" localSheetId="0" hidden="1">2</definedName>
    <definedName name="solver_rep" localSheetId="1" hidden="1">2</definedName>
    <definedName name="solver_rhs1" localSheetId="0" hidden="1">Модель!$F$6:$F$10</definedName>
    <definedName name="solver_rhs1" localSheetId="1" hidden="1">Модель1!$J$6:$J$16</definedName>
    <definedName name="solver_rhs2" localSheetId="0" hidden="1">Модель!$F$12</definedName>
    <definedName name="solver_rhs2" localSheetId="1" hidden="1">1</definedName>
    <definedName name="solver_rhs3" localSheetId="0" hidden="1">60</definedName>
    <definedName name="solver_rhs4" localSheetId="0" hidden="1">60</definedName>
    <definedName name="solver_rlx" localSheetId="0" hidden="1">2</definedName>
    <definedName name="solver_rlx" localSheetId="1" hidden="1">2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std" localSheetId="0" hidden="1">1</definedName>
    <definedName name="solver_std" localSheetId="1" hidden="1">1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G12" i="1" s="1"/>
  <c r="D7" i="1"/>
  <c r="D8" i="1"/>
  <c r="D9" i="1"/>
  <c r="D10" i="1"/>
  <c r="G10" i="1" s="1"/>
  <c r="D6" i="1"/>
  <c r="G6" i="1" s="1"/>
  <c r="G7" i="1"/>
  <c r="G8" i="1"/>
  <c r="G9" i="1"/>
  <c r="D4" i="1"/>
  <c r="L6" i="25"/>
  <c r="L7" i="25"/>
  <c r="L8" i="25"/>
  <c r="L9" i="25"/>
  <c r="L10" i="25"/>
  <c r="L11" i="25"/>
  <c r="L12" i="25"/>
  <c r="L13" i="25"/>
  <c r="L14" i="25"/>
  <c r="L15" i="25"/>
  <c r="L16" i="25"/>
  <c r="GE977" i="1"/>
</calcChain>
</file>

<file path=xl/sharedStrings.xml><?xml version="1.0" encoding="utf-8"?>
<sst xmlns="http://schemas.openxmlformats.org/spreadsheetml/2006/main" count="63" uniqueCount="35">
  <si>
    <t>Mate</t>
  </si>
  <si>
    <t>Captain</t>
  </si>
  <si>
    <t>&lt;</t>
  </si>
  <si>
    <t>&gt;</t>
  </si>
  <si>
    <t>Резерв</t>
  </si>
  <si>
    <t>Модель структуры недельного производства компании Oak Products</t>
  </si>
  <si>
    <t>Capt.</t>
  </si>
  <si>
    <t>AmerHi</t>
  </si>
  <si>
    <t>AmerLo</t>
  </si>
  <si>
    <t>SpainK</t>
  </si>
  <si>
    <t>SpainQ</t>
  </si>
  <si>
    <t>Спинки для Capt</t>
  </si>
  <si>
    <t>Спинки для Mate</t>
  </si>
  <si>
    <t>Спинки для Span</t>
  </si>
  <si>
    <t>Oak Products</t>
  </si>
  <si>
    <t>Тип стільців</t>
  </si>
  <si>
    <t>Питомий прибуток</t>
  </si>
  <si>
    <t>Виготовлена к-ть</t>
  </si>
  <si>
    <t>Прибуток</t>
  </si>
  <si>
    <t>Сумарне споживання</t>
  </si>
  <si>
    <t>Початковий запас</t>
  </si>
  <si>
    <t>Кінцевий запас</t>
  </si>
  <si>
    <t>Стільці</t>
  </si>
  <si>
    <t>Мін. Виробництво</t>
  </si>
  <si>
    <t>Довгі штифти</t>
  </si>
  <si>
    <t>Короткі штифти</t>
  </si>
  <si>
    <t>Ніжки</t>
  </si>
  <si>
    <t>Міцні сидження</t>
  </si>
  <si>
    <t>Полегшені сидження</t>
  </si>
  <si>
    <t>Виготовлено</t>
  </si>
  <si>
    <t>Міцні поперечини</t>
  </si>
  <si>
    <t>Полегшені поперечини</t>
  </si>
  <si>
    <t>Спинки для Amer</t>
  </si>
  <si>
    <t>Потреба у деталях</t>
  </si>
  <si>
    <t xml:space="preserve">Потреба у деталях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</si>
</sst>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_(&quot;$&quot;\ #,##0_);_(&quot;$&quot;\ \(#,##0\);_(&quot;$&quot;\ &quot;-&quot;??_);_(@_)"/>
    <numFmt numFmtId="167" formatCode="&quot;$&quot;#,##0"/>
    <numFmt numFmtId="168" formatCode="[$$-409]#,##0"/>
    <numFmt numFmtId="169" formatCode="[$$-409]#,##0.0000"/>
  </numFmts>
  <fonts count="8">
    <font>
      <sz val="10"/>
      <name val="MS Sans Serif"/>
    </font>
    <font>
      <sz val="10"/>
      <name val="MS Sans Serif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7" fontId="2" fillId="2" borderId="3" xfId="1" applyNumberFormat="1" applyFont="1" applyFill="1" applyBorder="1"/>
    <xf numFmtId="0" fontId="2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167" fontId="2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64" fontId="2" fillId="0" borderId="0" xfId="0" applyNumberFormat="1" applyFont="1"/>
    <xf numFmtId="0" fontId="3" fillId="0" borderId="4" xfId="0" applyFont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textRotation="90"/>
    </xf>
    <xf numFmtId="166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8" fontId="3" fillId="2" borderId="3" xfId="0" applyNumberFormat="1" applyFont="1" applyFill="1" applyBorder="1"/>
    <xf numFmtId="0" fontId="3" fillId="0" borderId="4" xfId="0" applyFont="1" applyBorder="1" applyAlignment="1">
      <alignment horizontal="centerContinuous"/>
    </xf>
    <xf numFmtId="168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9" fontId="3" fillId="0" borderId="0" xfId="0" applyNumberFormat="1" applyFont="1"/>
    <xf numFmtId="16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E977"/>
  <sheetViews>
    <sheetView tabSelected="1" zoomScale="338" workbookViewId="0">
      <selection activeCell="D12" sqref="D12"/>
    </sheetView>
  </sheetViews>
  <sheetFormatPr baseColWidth="10" defaultColWidth="8.796875" defaultRowHeight="13"/>
  <cols>
    <col min="1" max="1" width="16.19921875" style="1" bestFit="1" customWidth="1"/>
    <col min="2" max="2" width="8" style="1" customWidth="1"/>
    <col min="3" max="3" width="9" style="1" customWidth="1"/>
    <col min="4" max="4" width="14.796875" style="1" customWidth="1"/>
    <col min="5" max="5" width="1.796875" style="4" bestFit="1" customWidth="1"/>
    <col min="6" max="6" width="15.3984375" style="1" customWidth="1"/>
    <col min="7" max="7" width="9.19921875" style="4" customWidth="1"/>
    <col min="8" max="16384" width="8.796875" style="1"/>
  </cols>
  <sheetData>
    <row r="1" spans="1:11">
      <c r="A1" s="2"/>
      <c r="B1" s="3" t="s">
        <v>14</v>
      </c>
      <c r="E1" s="1"/>
      <c r="G1" s="1"/>
    </row>
    <row r="2" spans="1:11">
      <c r="A2" s="2" t="s">
        <v>15</v>
      </c>
      <c r="B2" s="4" t="s">
        <v>1</v>
      </c>
      <c r="C2" s="4" t="s">
        <v>0</v>
      </c>
    </row>
    <row r="3" spans="1:11" ht="15" thickBot="1">
      <c r="A3" s="2" t="s">
        <v>16</v>
      </c>
      <c r="B3" s="5">
        <v>56</v>
      </c>
      <c r="C3" s="5">
        <v>40</v>
      </c>
      <c r="D3" s="6" t="s">
        <v>18</v>
      </c>
    </row>
    <row r="4" spans="1:11" ht="14" thickBot="1">
      <c r="A4" s="2" t="s">
        <v>17</v>
      </c>
      <c r="B4" s="7">
        <v>3</v>
      </c>
      <c r="C4" s="8">
        <v>1</v>
      </c>
      <c r="D4" s="9">
        <f>SUMPRODUCT($B$3:$C$3,B4:C4)</f>
        <v>208</v>
      </c>
      <c r="G4" s="29"/>
    </row>
    <row r="5" spans="1:11" ht="28">
      <c r="A5" s="2"/>
      <c r="B5" s="30" t="s">
        <v>33</v>
      </c>
      <c r="C5" s="30"/>
      <c r="D5" s="16" t="s">
        <v>19</v>
      </c>
      <c r="F5" s="10" t="s">
        <v>20</v>
      </c>
      <c r="G5" s="10" t="s">
        <v>21</v>
      </c>
    </row>
    <row r="6" spans="1:11">
      <c r="A6" s="2" t="s">
        <v>24</v>
      </c>
      <c r="B6" s="4">
        <v>8</v>
      </c>
      <c r="C6" s="4">
        <v>4</v>
      </c>
      <c r="D6" s="17">
        <f>SUMPRODUCT($B$4:$C$4,B6:C6)</f>
        <v>28</v>
      </c>
      <c r="E6" s="11" t="s">
        <v>2</v>
      </c>
      <c r="F6" s="17">
        <v>1280</v>
      </c>
      <c r="G6" s="17">
        <f>F6-D6</f>
        <v>1252</v>
      </c>
      <c r="K6" s="12"/>
    </row>
    <row r="7" spans="1:11">
      <c r="A7" s="2" t="s">
        <v>25</v>
      </c>
      <c r="B7" s="4">
        <v>4</v>
      </c>
      <c r="C7" s="4">
        <v>12</v>
      </c>
      <c r="D7" s="17">
        <f t="shared" ref="D7:D12" si="0">SUMPRODUCT($B$4:$C$4,B7:C7)</f>
        <v>24</v>
      </c>
      <c r="E7" s="11" t="s">
        <v>2</v>
      </c>
      <c r="F7" s="17">
        <v>1600</v>
      </c>
      <c r="G7" s="17">
        <f t="shared" ref="G7:G12" si="1">F7-D7</f>
        <v>1576</v>
      </c>
    </row>
    <row r="8" spans="1:11">
      <c r="A8" s="2" t="s">
        <v>26</v>
      </c>
      <c r="B8" s="4">
        <v>4</v>
      </c>
      <c r="C8" s="4">
        <v>4</v>
      </c>
      <c r="D8" s="17">
        <f t="shared" si="0"/>
        <v>16</v>
      </c>
      <c r="E8" s="11" t="s">
        <v>2</v>
      </c>
      <c r="F8" s="17">
        <v>760</v>
      </c>
      <c r="G8" s="17">
        <f t="shared" si="1"/>
        <v>744</v>
      </c>
    </row>
    <row r="9" spans="1:11">
      <c r="A9" s="2" t="s">
        <v>27</v>
      </c>
      <c r="B9" s="4">
        <v>1</v>
      </c>
      <c r="C9" s="4">
        <v>0</v>
      </c>
      <c r="D9" s="17">
        <f t="shared" si="0"/>
        <v>3</v>
      </c>
      <c r="E9" s="11" t="s">
        <v>2</v>
      </c>
      <c r="F9" s="17">
        <v>140</v>
      </c>
      <c r="G9" s="17">
        <f t="shared" si="1"/>
        <v>137</v>
      </c>
    </row>
    <row r="10" spans="1:11">
      <c r="A10" s="2" t="s">
        <v>28</v>
      </c>
      <c r="B10" s="4">
        <v>0</v>
      </c>
      <c r="C10" s="4">
        <v>1</v>
      </c>
      <c r="D10" s="17">
        <f t="shared" si="0"/>
        <v>1</v>
      </c>
      <c r="E10" s="11" t="s">
        <v>2</v>
      </c>
      <c r="F10" s="17">
        <v>120</v>
      </c>
      <c r="G10" s="17">
        <f t="shared" si="1"/>
        <v>119</v>
      </c>
    </row>
    <row r="11" spans="1:11">
      <c r="A11" s="2"/>
      <c r="D11" s="17" t="s">
        <v>22</v>
      </c>
      <c r="F11" s="13" t="s">
        <v>23</v>
      </c>
      <c r="G11" s="14" t="s">
        <v>4</v>
      </c>
    </row>
    <row r="12" spans="1:11">
      <c r="A12" s="2" t="s">
        <v>29</v>
      </c>
      <c r="B12" s="4">
        <v>1</v>
      </c>
      <c r="C12" s="4">
        <v>1</v>
      </c>
      <c r="D12" s="17">
        <f t="shared" si="0"/>
        <v>4</v>
      </c>
      <c r="E12" s="11" t="s">
        <v>3</v>
      </c>
      <c r="F12" s="4">
        <v>100</v>
      </c>
      <c r="G12" s="17">
        <f t="shared" si="1"/>
        <v>96</v>
      </c>
    </row>
    <row r="14" spans="1:11">
      <c r="A14" s="3"/>
      <c r="K14" s="12"/>
    </row>
    <row r="19" spans="3:3">
      <c r="C19" s="12"/>
    </row>
    <row r="20" spans="3:3">
      <c r="C20" s="15"/>
    </row>
    <row r="21" spans="3:3">
      <c r="C21" s="15"/>
    </row>
    <row r="22" spans="3:3">
      <c r="C22" s="15"/>
    </row>
    <row r="23" spans="3:3">
      <c r="C23" s="15"/>
    </row>
    <row r="24" spans="3:3">
      <c r="C24" s="15"/>
    </row>
    <row r="25" spans="3:3">
      <c r="C25" s="15"/>
    </row>
    <row r="26" spans="3:3">
      <c r="C26" s="15"/>
    </row>
    <row r="27" spans="3:3">
      <c r="C27" s="15"/>
    </row>
    <row r="28" spans="3:3">
      <c r="C28" s="15"/>
    </row>
    <row r="29" spans="3:3">
      <c r="C29" s="15"/>
    </row>
    <row r="30" spans="3:3">
      <c r="C30" s="15"/>
    </row>
    <row r="977" spans="187:187">
      <c r="GE977" s="1" t="b">
        <f>{FALSE,5000,5000,FALSE,FALSE,FALSE,FALSE,FALSE}</f>
        <v>0</v>
      </c>
    </row>
  </sheetData>
  <mergeCells count="1">
    <mergeCell ref="B5:C5"/>
  </mergeCells>
  <phoneticPr fontId="0" type="noConversion"/>
  <pageMargins left="0.75" right="0.75" top="1" bottom="1" header="0.5" footer="0.5"/>
  <pageSetup orientation="portrait" verticalDpi="30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zoomScale="185" workbookViewId="0">
      <selection activeCell="L10" sqref="L10"/>
    </sheetView>
  </sheetViews>
  <sheetFormatPr baseColWidth="10" defaultColWidth="8.796875" defaultRowHeight="12"/>
  <cols>
    <col min="1" max="1" width="18.19921875" style="2" customWidth="1"/>
    <col min="2" max="7" width="6.19921875" style="2" bestFit="1" customWidth="1"/>
    <col min="8" max="8" width="12.19921875" style="2" customWidth="1"/>
    <col min="9" max="9" width="2.19921875" style="21" customWidth="1"/>
    <col min="10" max="10" width="7" style="2" customWidth="1"/>
    <col min="11" max="11" width="7.19921875" style="2" customWidth="1"/>
    <col min="12" max="12" width="14.19921875" style="2" bestFit="1" customWidth="1"/>
    <col min="13" max="16384" width="8.796875" style="2"/>
  </cols>
  <sheetData>
    <row r="1" spans="1:13">
      <c r="A1" s="18" t="s">
        <v>5</v>
      </c>
    </row>
    <row r="2" spans="1:13" ht="38">
      <c r="A2" s="2" t="s">
        <v>15</v>
      </c>
      <c r="B2" s="19" t="s">
        <v>6</v>
      </c>
      <c r="C2" s="19" t="s">
        <v>0</v>
      </c>
      <c r="D2" s="19" t="s">
        <v>7</v>
      </c>
      <c r="E2" s="19" t="s">
        <v>8</v>
      </c>
      <c r="F2" s="19" t="s">
        <v>9</v>
      </c>
      <c r="G2" s="19" t="s">
        <v>10</v>
      </c>
    </row>
    <row r="3" spans="1:13" ht="15" thickBot="1">
      <c r="A3" s="2" t="s">
        <v>16</v>
      </c>
      <c r="B3" s="20">
        <v>36</v>
      </c>
      <c r="C3" s="20">
        <v>40</v>
      </c>
      <c r="D3" s="20">
        <v>45</v>
      </c>
      <c r="E3" s="20">
        <v>38</v>
      </c>
      <c r="F3" s="20">
        <v>35</v>
      </c>
      <c r="G3" s="20">
        <v>25</v>
      </c>
      <c r="H3" s="6" t="s">
        <v>18</v>
      </c>
    </row>
    <row r="4" spans="1:13" ht="13" thickBot="1">
      <c r="A4" s="2" t="s">
        <v>17</v>
      </c>
      <c r="B4" s="22"/>
      <c r="C4" s="23"/>
      <c r="D4" s="23"/>
      <c r="E4" s="23"/>
      <c r="F4" s="23"/>
      <c r="G4" s="23"/>
      <c r="H4" s="24"/>
      <c r="I4" s="26"/>
      <c r="M4" s="28"/>
    </row>
    <row r="5" spans="1:13" ht="35.25" customHeight="1">
      <c r="B5" s="25" t="s">
        <v>34</v>
      </c>
      <c r="C5" s="25"/>
      <c r="D5" s="25"/>
      <c r="E5" s="25"/>
      <c r="F5" s="25"/>
      <c r="G5" s="25"/>
      <c r="H5" s="16" t="s">
        <v>19</v>
      </c>
      <c r="I5" s="16"/>
      <c r="J5" s="16" t="s">
        <v>20</v>
      </c>
      <c r="K5" s="16" t="s">
        <v>21</v>
      </c>
    </row>
    <row r="6" spans="1:13">
      <c r="A6" s="2" t="s">
        <v>24</v>
      </c>
      <c r="B6" s="21">
        <v>8</v>
      </c>
      <c r="C6" s="21">
        <v>0</v>
      </c>
      <c r="D6" s="21">
        <v>12</v>
      </c>
      <c r="E6" s="21">
        <v>0</v>
      </c>
      <c r="F6" s="21">
        <v>8</v>
      </c>
      <c r="G6" s="21">
        <v>4</v>
      </c>
      <c r="I6" s="27" t="s">
        <v>2</v>
      </c>
      <c r="J6" s="2">
        <v>1280</v>
      </c>
      <c r="L6" s="2" t="str">
        <f t="shared" ref="L6:L16" si="0">IF(K6&lt;0,A6&amp;" закончились","")</f>
        <v/>
      </c>
    </row>
    <row r="7" spans="1:13">
      <c r="A7" s="2" t="s">
        <v>25</v>
      </c>
      <c r="B7" s="21">
        <v>4</v>
      </c>
      <c r="C7" s="21">
        <v>12</v>
      </c>
      <c r="D7" s="21">
        <v>0</v>
      </c>
      <c r="E7" s="21">
        <v>12</v>
      </c>
      <c r="F7" s="21">
        <v>4</v>
      </c>
      <c r="G7" s="21">
        <v>8</v>
      </c>
      <c r="I7" s="27" t="s">
        <v>2</v>
      </c>
      <c r="J7" s="2">
        <v>1900</v>
      </c>
      <c r="L7" s="2" t="str">
        <f t="shared" si="0"/>
        <v/>
      </c>
    </row>
    <row r="8" spans="1:13">
      <c r="A8" s="2" t="s">
        <v>26</v>
      </c>
      <c r="B8" s="21">
        <v>4</v>
      </c>
      <c r="C8" s="21">
        <v>4</v>
      </c>
      <c r="D8" s="21">
        <v>4</v>
      </c>
      <c r="E8" s="21">
        <v>4</v>
      </c>
      <c r="F8" s="21">
        <v>4</v>
      </c>
      <c r="G8" s="21">
        <v>4</v>
      </c>
      <c r="I8" s="27" t="s">
        <v>2</v>
      </c>
      <c r="J8" s="2">
        <v>1090</v>
      </c>
      <c r="L8" s="2" t="str">
        <f t="shared" si="0"/>
        <v/>
      </c>
    </row>
    <row r="9" spans="1:13">
      <c r="A9" s="2" t="s">
        <v>27</v>
      </c>
      <c r="B9" s="21">
        <v>1</v>
      </c>
      <c r="C9" s="21">
        <v>0</v>
      </c>
      <c r="D9" s="21">
        <v>0</v>
      </c>
      <c r="E9" s="21">
        <v>0</v>
      </c>
      <c r="F9" s="21">
        <v>1</v>
      </c>
      <c r="G9" s="21">
        <v>1</v>
      </c>
      <c r="I9" s="27" t="s">
        <v>2</v>
      </c>
      <c r="J9" s="2">
        <v>190</v>
      </c>
      <c r="L9" s="2" t="str">
        <f t="shared" si="0"/>
        <v/>
      </c>
    </row>
    <row r="10" spans="1:13">
      <c r="A10" s="2" t="s">
        <v>28</v>
      </c>
      <c r="B10" s="21">
        <v>0</v>
      </c>
      <c r="C10" s="21">
        <v>1</v>
      </c>
      <c r="D10" s="21">
        <v>1</v>
      </c>
      <c r="E10" s="21">
        <v>1</v>
      </c>
      <c r="F10" s="21">
        <v>0</v>
      </c>
      <c r="G10" s="21">
        <v>0</v>
      </c>
      <c r="I10" s="27" t="s">
        <v>2</v>
      </c>
      <c r="J10" s="2">
        <v>170</v>
      </c>
      <c r="L10" s="2" t="str">
        <f t="shared" si="0"/>
        <v/>
      </c>
    </row>
    <row r="11" spans="1:13">
      <c r="A11" s="2" t="s">
        <v>30</v>
      </c>
      <c r="B11" s="21">
        <v>6</v>
      </c>
      <c r="C11" s="21">
        <v>0</v>
      </c>
      <c r="D11" s="21">
        <v>4</v>
      </c>
      <c r="E11" s="21">
        <v>0</v>
      </c>
      <c r="F11" s="21">
        <v>5</v>
      </c>
      <c r="G11" s="21">
        <v>0</v>
      </c>
      <c r="I11" s="27" t="s">
        <v>2</v>
      </c>
      <c r="J11" s="2">
        <v>1000</v>
      </c>
      <c r="L11" s="2" t="str">
        <f t="shared" si="0"/>
        <v/>
      </c>
    </row>
    <row r="12" spans="1:13">
      <c r="A12" s="2" t="s">
        <v>31</v>
      </c>
      <c r="B12" s="21">
        <v>0</v>
      </c>
      <c r="C12" s="21">
        <v>4</v>
      </c>
      <c r="D12" s="21">
        <v>0</v>
      </c>
      <c r="E12" s="21">
        <v>5</v>
      </c>
      <c r="F12" s="21">
        <v>0</v>
      </c>
      <c r="G12" s="21">
        <v>6</v>
      </c>
      <c r="I12" s="27" t="s">
        <v>2</v>
      </c>
      <c r="J12" s="2">
        <v>1000</v>
      </c>
      <c r="L12" s="2" t="str">
        <f t="shared" si="0"/>
        <v/>
      </c>
    </row>
    <row r="13" spans="1:13">
      <c r="A13" s="2" t="s">
        <v>11</v>
      </c>
      <c r="B13" s="21">
        <v>1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I13" s="27" t="s">
        <v>2</v>
      </c>
      <c r="J13" s="2">
        <v>110</v>
      </c>
      <c r="L13" s="2" t="str">
        <f t="shared" si="0"/>
        <v/>
      </c>
    </row>
    <row r="14" spans="1:13">
      <c r="A14" s="2" t="s">
        <v>12</v>
      </c>
      <c r="B14" s="21">
        <v>0</v>
      </c>
      <c r="C14" s="21">
        <v>1</v>
      </c>
      <c r="D14" s="21">
        <v>0</v>
      </c>
      <c r="E14" s="21">
        <v>0</v>
      </c>
      <c r="F14" s="21">
        <v>0</v>
      </c>
      <c r="G14" s="21">
        <v>0</v>
      </c>
      <c r="I14" s="27" t="s">
        <v>2</v>
      </c>
      <c r="J14" s="2">
        <v>72</v>
      </c>
      <c r="L14" s="2" t="str">
        <f t="shared" si="0"/>
        <v/>
      </c>
    </row>
    <row r="15" spans="1:13">
      <c r="A15" s="2" t="s">
        <v>32</v>
      </c>
      <c r="B15" s="21">
        <v>0</v>
      </c>
      <c r="C15" s="21">
        <v>0</v>
      </c>
      <c r="D15" s="21">
        <v>1</v>
      </c>
      <c r="E15" s="21">
        <v>1</v>
      </c>
      <c r="F15" s="21">
        <v>0</v>
      </c>
      <c r="G15" s="21">
        <v>0</v>
      </c>
      <c r="I15" s="27" t="s">
        <v>2</v>
      </c>
      <c r="J15" s="2">
        <v>93</v>
      </c>
      <c r="L15" s="2" t="str">
        <f t="shared" si="0"/>
        <v/>
      </c>
    </row>
    <row r="16" spans="1:13">
      <c r="A16" s="2" t="s">
        <v>13</v>
      </c>
      <c r="B16" s="21">
        <v>0</v>
      </c>
      <c r="C16" s="21">
        <v>0</v>
      </c>
      <c r="D16" s="21">
        <v>0</v>
      </c>
      <c r="E16" s="21">
        <v>0</v>
      </c>
      <c r="F16" s="21">
        <v>1</v>
      </c>
      <c r="G16" s="21">
        <v>1</v>
      </c>
      <c r="I16" s="27" t="s">
        <v>2</v>
      </c>
      <c r="J16" s="2">
        <v>85</v>
      </c>
      <c r="L16" s="2" t="str">
        <f t="shared" si="0"/>
        <v/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Модель</vt:lpstr>
      <vt:lpstr>Модель1</vt:lpstr>
    </vt:vector>
  </TitlesOfParts>
  <Company>SoftWindows Registered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 (appears on printouts)</dc:creator>
  <cp:lastModifiedBy>Yaroslav Vyklyuk</cp:lastModifiedBy>
  <dcterms:created xsi:type="dcterms:W3CDTF">1996-08-07T20:23:38Z</dcterms:created>
  <dcterms:modified xsi:type="dcterms:W3CDTF">2026-09-11T09:32:52Z</dcterms:modified>
</cp:coreProperties>
</file>
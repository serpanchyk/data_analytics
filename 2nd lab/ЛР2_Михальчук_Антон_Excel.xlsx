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xr:revisionPtr revIDLastSave="0" documentId="8_{2B4A75B4-CBD2-47A4-ADF4-AD025B39E01B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Sensitivity Report" sheetId="3" r:id="rId1"/>
    <sheet name="Answer Report" sheetId="2" r:id="rId2"/>
    <sheet name="Дані" sheetId="1" r:id="rId3"/>
  </sheets>
  <definedNames>
    <definedName name="solver_adj" localSheetId="2" hidden="1">Дані!$B$11:$E$11</definedName>
    <definedName name="solver_eng" localSheetId="1" hidden="1">0</definedName>
    <definedName name="solver_eng" localSheetId="2" hidden="1">0</definedName>
    <definedName name="solver_eng" localSheetId="0" hidden="1">0</definedName>
    <definedName name="solver_lhs1" localSheetId="2" hidden="1">Дані!$G$4:$G$8</definedName>
    <definedName name="solver_neg" localSheetId="2" hidden="1">1</definedName>
    <definedName name="solver_num" localSheetId="2" hidden="1">1</definedName>
    <definedName name="solver_opt" localSheetId="2" hidden="1">Дані!$B$13</definedName>
    <definedName name="solver_rel1" localSheetId="2" hidden="1">1</definedName>
    <definedName name="solver_rhs1" localSheetId="2" hidden="1">Дані!$F$4:$F$8</definedName>
    <definedName name="solver_rxc1" localSheetId="2" hidden="1">1</definedName>
    <definedName name="solver_rxv" localSheetId="2" hidden="1">1</definedName>
    <definedName name="solver_typ" localSheetId="2" hidden="1">1</definedName>
    <definedName name="solver_val" localSheetId="2" hidden="1">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G5" i="1"/>
  <c r="G6" i="1"/>
  <c r="G7" i="1"/>
  <c r="G8" i="1"/>
  <c r="G4" i="1"/>
</calcChain>
</file>

<file path=xl/sharedStrings.xml><?xml version="1.0" encoding="utf-8"?>
<sst xmlns="http://schemas.openxmlformats.org/spreadsheetml/2006/main" count="89" uniqueCount="60">
  <si>
    <t>Microsoft Excel Sensitivity Report</t>
  </si>
  <si>
    <t>Worksheet: Answer Report</t>
  </si>
  <si>
    <t>Report Created:Sun Oct 04 2026 13:13:31 GMT+0300 (Eastern European Summer Time)</t>
  </si>
  <si>
    <t>Engine: LP/Quadratic</t>
  </si>
  <si>
    <t>Objective Cell (Max)</t>
  </si>
  <si>
    <t>Cell</t>
  </si>
  <si>
    <t>Original Value</t>
  </si>
  <si>
    <t>Final Value</t>
  </si>
  <si>
    <t>Дані'!B13</t>
  </si>
  <si>
    <t>Decision Variable Cells</t>
  </si>
  <si>
    <t>Final</t>
  </si>
  <si>
    <t>Reduced</t>
  </si>
  <si>
    <t>Maximum</t>
  </si>
  <si>
    <t>Minimum</t>
  </si>
  <si>
    <t>Value</t>
  </si>
  <si>
    <t>Cost</t>
  </si>
  <si>
    <t>Objective Coefficient</t>
  </si>
  <si>
    <t>$B$11</t>
  </si>
  <si>
    <t>$C$11</t>
  </si>
  <si>
    <t>$D$11</t>
  </si>
  <si>
    <t>$E$11</t>
  </si>
  <si>
    <t>Constraints</t>
  </si>
  <si>
    <t>Shadow</t>
  </si>
  <si>
    <t>Constraint</t>
  </si>
  <si>
    <t>Allowable</t>
  </si>
  <si>
    <t>Price</t>
  </si>
  <si>
    <t>R.H.Side</t>
  </si>
  <si>
    <t>Increase</t>
  </si>
  <si>
    <t>Decrease</t>
  </si>
  <si>
    <t>$G$4</t>
  </si>
  <si>
    <t>$G$5</t>
  </si>
  <si>
    <t>$G$6</t>
  </si>
  <si>
    <t>$G$7</t>
  </si>
  <si>
    <t>$G$8</t>
  </si>
  <si>
    <t>Microsoft Excel Answer Report</t>
  </si>
  <si>
    <t>Worksheet: Дані</t>
  </si>
  <si>
    <t>Report Created:Sun Oct 04 2026 13:13:30 GMT+0300 (Eastern European Summer Time)</t>
  </si>
  <si>
    <t>Result: Solver found a solution.  All constraints and optimality conditions are satisfied.</t>
  </si>
  <si>
    <t>Solution Time: 2 milliseconds</t>
  </si>
  <si>
    <t>Iterations: 0</t>
  </si>
  <si>
    <t>Subproblems: 0</t>
  </si>
  <si>
    <t>Incumbent Solutions: 0</t>
  </si>
  <si>
    <t>Lower Bound</t>
  </si>
  <si>
    <t>Upper Bound</t>
  </si>
  <si>
    <t>Slack</t>
  </si>
  <si>
    <t>Варіант 13 · «Астро-ТВ» · телевізори, шт./день</t>
  </si>
  <si>
    <t>Ресурс</t>
  </si>
  <si>
    <t>Astro</t>
  </si>
  <si>
    <t>Cosmo</t>
  </si>
  <si>
    <t>Nova</t>
  </si>
  <si>
    <t>Vega</t>
  </si>
  <si>
    <t>Запас</t>
  </si>
  <si>
    <t>Конвеєр A, год</t>
  </si>
  <si>
    <t>Конвеєр Б, год</t>
  </si>
  <si>
    <t>Цех кінескопів, год</t>
  </si>
  <si>
    <t>Цех корпусів, год</t>
  </si>
  <si>
    <t>Ділянка збирання, год</t>
  </si>
  <si>
    <t>Прибуток з одиниці</t>
  </si>
  <si>
    <t>План</t>
  </si>
  <si>
    <t>Прибуток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</si>
</sst>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8"/>
      <color theme="1"/>
      <name val="Helv"/>
    </font>
    <font>
      <sz val="8"/>
      <color theme="1"/>
      <name val="Helv"/>
    </font>
    <font>
      <b/>
      <sz val="8"/>
      <color rgb="FF0000FF"/>
      <name val="Helv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Border="1"/>
    <xf numFmtId="0" fontId="4" fillId="0" borderId="0" xfId="0" applyFont="1" applyBorder="1"/>
    <xf numFmtId="0" fontId="3" fillId="0" borderId="1" xfId="0" applyFont="1" applyBorder="1"/>
    <xf numFmtId="0" fontId="3" fillId="0" borderId="1" xfId="0" quotePrefix="1" applyFont="1" applyBorder="1"/>
    <xf numFmtId="0" fontId="3" fillId="0" borderId="2" xfId="0" applyFont="1" applyBorder="1"/>
  </cellXfs>
  <cellStyles count="1">
    <cellStyle name="Звичайни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5E8764C-F408-4C7C-AFE2-BD5B56219B54}">
  <we:reference id="wa104100404" version="3.0.0.1" store="en-US" storeType="omex"/>
  <we:alternateReferences>
    <we:reference id="wa104100404" version="3.0.0.1" store="en-US" storeType="omex"/>
  </we:alternateReferences>
  <we:properties>
    <we:property name="UniqueID" value="&quot;202694179110831930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B3E66-A62B-4B42-82B0-377A0D919892}">
  <dimension ref="A1:G25"/>
  <sheetViews>
    <sheetView workbookViewId="0">
      <selection activeCell="G25" sqref="A1:G25"/>
    </sheetView>
  </sheetViews>
  <sheetFormatPr defaultRowHeight="15"/>
  <cols>
    <col min="3" max="4" width="10.85546875" bestFit="1" customWidth="1"/>
    <col min="5" max="7" width="9.7109375" bestFit="1" customWidth="1"/>
  </cols>
  <sheetData>
    <row r="1" spans="1:6">
      <c r="A1" s="2" t="s">
        <v>0</v>
      </c>
    </row>
    <row r="2" spans="1:6">
      <c r="A2" s="2" t="s">
        <v>1</v>
      </c>
    </row>
    <row r="3" spans="1:6">
      <c r="A3" s="2" t="s">
        <v>2</v>
      </c>
    </row>
    <row r="4" spans="1:6">
      <c r="A4" s="2" t="s">
        <v>3</v>
      </c>
    </row>
    <row r="6" spans="1:6">
      <c r="A6" s="7" t="s">
        <v>4</v>
      </c>
      <c r="B6" s="7"/>
      <c r="C6" s="7"/>
      <c r="D6" s="7"/>
    </row>
    <row r="7" spans="1:6">
      <c r="A7" s="4"/>
      <c r="B7" s="4" t="s">
        <v>5</v>
      </c>
      <c r="C7" s="4" t="s">
        <v>6</v>
      </c>
      <c r="D7" s="4" t="s">
        <v>7</v>
      </c>
    </row>
    <row r="8" spans="1:6">
      <c r="A8" s="5"/>
      <c r="B8" s="6" t="s">
        <v>8</v>
      </c>
      <c r="C8" s="5">
        <v>0</v>
      </c>
      <c r="D8" s="5">
        <v>10269.833333333334</v>
      </c>
    </row>
    <row r="10" spans="1:6">
      <c r="A10" s="7" t="s">
        <v>9</v>
      </c>
      <c r="B10" s="7"/>
      <c r="C10" s="7"/>
      <c r="D10" s="7"/>
      <c r="E10" s="7"/>
      <c r="F10" s="7"/>
    </row>
    <row r="11" spans="1:6">
      <c r="A11" s="4"/>
      <c r="B11" s="4"/>
      <c r="C11" s="4" t="s">
        <v>10</v>
      </c>
      <c r="D11" s="4" t="s">
        <v>11</v>
      </c>
      <c r="E11" s="4" t="s">
        <v>12</v>
      </c>
      <c r="F11" s="4" t="s">
        <v>13</v>
      </c>
    </row>
    <row r="12" spans="1:6">
      <c r="A12" s="4"/>
      <c r="B12" s="4" t="s">
        <v>5</v>
      </c>
      <c r="C12" s="4" t="s">
        <v>14</v>
      </c>
      <c r="D12" s="4" t="s">
        <v>15</v>
      </c>
      <c r="E12" s="4" t="s">
        <v>16</v>
      </c>
      <c r="F12" s="4" t="s">
        <v>16</v>
      </c>
    </row>
    <row r="13" spans="1:6">
      <c r="A13" s="3"/>
      <c r="B13" s="3" t="s">
        <v>17</v>
      </c>
      <c r="C13" s="3">
        <v>69.833333333333343</v>
      </c>
      <c r="D13" s="3">
        <v>0</v>
      </c>
      <c r="E13" s="3">
        <v>76.000000099999994</v>
      </c>
      <c r="F13" s="3">
        <v>52.999999899999999</v>
      </c>
    </row>
    <row r="14" spans="1:6">
      <c r="A14" s="3"/>
      <c r="B14" s="3" t="s">
        <v>18</v>
      </c>
      <c r="C14" s="3">
        <v>0</v>
      </c>
      <c r="D14" s="3">
        <v>-11.333333333333329</v>
      </c>
      <c r="E14" s="3">
        <v>53.333333333333329</v>
      </c>
      <c r="F14" s="3">
        <v>-1E+30</v>
      </c>
    </row>
    <row r="15" spans="1:6">
      <c r="A15" s="3"/>
      <c r="B15" s="3" t="s">
        <v>19</v>
      </c>
      <c r="C15" s="3">
        <v>0</v>
      </c>
      <c r="D15" s="3">
        <v>-6</v>
      </c>
      <c r="E15" s="3">
        <v>59</v>
      </c>
      <c r="F15" s="3">
        <v>-1E+30</v>
      </c>
    </row>
    <row r="16" spans="1:6">
      <c r="A16" s="5"/>
      <c r="B16" s="5" t="s">
        <v>20</v>
      </c>
      <c r="C16" s="5">
        <v>323.66666666666669</v>
      </c>
      <c r="D16" s="5">
        <v>0</v>
      </c>
      <c r="E16" s="5">
        <v>27.500000074999996</v>
      </c>
      <c r="F16" s="5">
        <v>14.749999975</v>
      </c>
    </row>
    <row r="18" spans="1:7">
      <c r="A18" s="7" t="s">
        <v>21</v>
      </c>
      <c r="B18" s="7"/>
      <c r="C18" s="7"/>
      <c r="D18" s="7"/>
      <c r="E18" s="7"/>
      <c r="F18" s="7"/>
      <c r="G18" s="7"/>
    </row>
    <row r="19" spans="1:7">
      <c r="A19" s="4"/>
      <c r="B19" s="4"/>
      <c r="C19" s="4" t="s">
        <v>10</v>
      </c>
      <c r="D19" s="4" t="s">
        <v>22</v>
      </c>
      <c r="E19" s="4" t="s">
        <v>23</v>
      </c>
      <c r="F19" s="4" t="s">
        <v>24</v>
      </c>
      <c r="G19" s="4" t="s">
        <v>24</v>
      </c>
    </row>
    <row r="20" spans="1:7">
      <c r="A20" s="4"/>
      <c r="B20" s="4" t="s">
        <v>5</v>
      </c>
      <c r="C20" s="4" t="s">
        <v>14</v>
      </c>
      <c r="D20" s="4" t="s">
        <v>25</v>
      </c>
      <c r="E20" s="4" t="s">
        <v>26</v>
      </c>
      <c r="F20" s="4" t="s">
        <v>27</v>
      </c>
      <c r="G20" s="4" t="s">
        <v>28</v>
      </c>
    </row>
    <row r="21" spans="1:7">
      <c r="A21" s="3"/>
      <c r="B21" s="3" t="s">
        <v>29</v>
      </c>
      <c r="C21" s="3">
        <v>69.833333333333343</v>
      </c>
      <c r="D21" s="3">
        <v>0</v>
      </c>
      <c r="E21" s="3">
        <v>937</v>
      </c>
      <c r="F21" s="3">
        <v>1E+30</v>
      </c>
      <c r="G21" s="3">
        <v>867.16666666666674</v>
      </c>
    </row>
    <row r="22" spans="1:7">
      <c r="A22" s="3"/>
      <c r="B22" s="3" t="s">
        <v>30</v>
      </c>
      <c r="C22" s="3">
        <v>1390</v>
      </c>
      <c r="D22" s="3">
        <v>2.833333333333333</v>
      </c>
      <c r="E22" s="3">
        <v>1390</v>
      </c>
      <c r="F22" s="3">
        <v>74.5</v>
      </c>
      <c r="G22" s="3">
        <v>485.5</v>
      </c>
    </row>
    <row r="23" spans="1:7">
      <c r="A23" s="3"/>
      <c r="B23" s="3" t="s">
        <v>31</v>
      </c>
      <c r="C23" s="3">
        <v>603</v>
      </c>
      <c r="D23" s="3">
        <v>10.5</v>
      </c>
      <c r="E23" s="3">
        <v>603</v>
      </c>
      <c r="F23" s="3">
        <v>323.66666666666663</v>
      </c>
      <c r="G23" s="3">
        <v>49.666666666666629</v>
      </c>
    </row>
    <row r="24" spans="1:7">
      <c r="A24" s="3"/>
      <c r="B24" s="3" t="s">
        <v>32</v>
      </c>
      <c r="C24" s="3">
        <v>971</v>
      </c>
      <c r="D24" s="3">
        <v>0</v>
      </c>
      <c r="E24" s="3">
        <v>1120</v>
      </c>
      <c r="F24" s="3">
        <v>1E+30</v>
      </c>
      <c r="G24" s="3">
        <v>148.99999999999989</v>
      </c>
    </row>
    <row r="25" spans="1:7">
      <c r="A25" s="5"/>
      <c r="B25" s="5" t="s">
        <v>33</v>
      </c>
      <c r="C25" s="5">
        <v>1180.5</v>
      </c>
      <c r="D25" s="5">
        <v>0</v>
      </c>
      <c r="E25" s="5">
        <v>1334</v>
      </c>
      <c r="F25" s="5">
        <v>1E+30</v>
      </c>
      <c r="G25" s="5">
        <v>153.5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1E64F-81D1-4367-9CC1-E23F353EB8BA}">
  <dimension ref="A1:G30"/>
  <sheetViews>
    <sheetView tabSelected="1" workbookViewId="0">
      <selection activeCell="J18" sqref="J18"/>
    </sheetView>
  </sheetViews>
  <sheetFormatPr defaultRowHeight="15"/>
  <cols>
    <col min="4" max="4" width="12" bestFit="1" customWidth="1"/>
    <col min="7" max="7" width="9.7109375" bestFit="1" customWidth="1"/>
  </cols>
  <sheetData>
    <row r="1" spans="1:4">
      <c r="A1" s="2" t="s">
        <v>34</v>
      </c>
    </row>
    <row r="2" spans="1:4">
      <c r="A2" s="2" t="s">
        <v>35</v>
      </c>
    </row>
    <row r="3" spans="1:4">
      <c r="A3" s="2" t="s">
        <v>36</v>
      </c>
    </row>
    <row r="4" spans="1:4">
      <c r="A4" s="2" t="s">
        <v>37</v>
      </c>
    </row>
    <row r="5" spans="1:4">
      <c r="A5" s="2" t="s">
        <v>3</v>
      </c>
    </row>
    <row r="6" spans="1:4">
      <c r="A6" s="2" t="s">
        <v>38</v>
      </c>
    </row>
    <row r="7" spans="1:4">
      <c r="A7" s="2" t="s">
        <v>39</v>
      </c>
    </row>
    <row r="8" spans="1:4">
      <c r="A8" s="2" t="s">
        <v>40</v>
      </c>
    </row>
    <row r="9" spans="1:4">
      <c r="A9" s="2" t="s">
        <v>41</v>
      </c>
    </row>
    <row r="12" spans="1:4">
      <c r="A12" s="7" t="s">
        <v>4</v>
      </c>
      <c r="B12" s="7"/>
      <c r="C12" s="7"/>
      <c r="D12" s="7"/>
    </row>
    <row r="13" spans="1:4">
      <c r="A13" s="4"/>
      <c r="B13" s="4" t="s">
        <v>5</v>
      </c>
      <c r="C13" s="4" t="s">
        <v>6</v>
      </c>
      <c r="D13" s="4" t="s">
        <v>7</v>
      </c>
    </row>
    <row r="14" spans="1:4">
      <c r="A14" s="5"/>
      <c r="B14" s="6" t="s">
        <v>8</v>
      </c>
      <c r="C14" s="5">
        <v>0</v>
      </c>
      <c r="D14" s="5">
        <v>10269.833333333334</v>
      </c>
    </row>
    <row r="17" spans="1:7">
      <c r="A17" s="7" t="s">
        <v>9</v>
      </c>
      <c r="B17" s="7"/>
      <c r="C17" s="7"/>
      <c r="D17" s="7"/>
    </row>
    <row r="18" spans="1:7">
      <c r="A18" s="4"/>
      <c r="B18" s="4" t="s">
        <v>5</v>
      </c>
      <c r="C18" s="4" t="s">
        <v>6</v>
      </c>
      <c r="D18" s="4" t="s">
        <v>7</v>
      </c>
    </row>
    <row r="19" spans="1:7">
      <c r="A19" s="3"/>
      <c r="B19" s="3" t="s">
        <v>17</v>
      </c>
      <c r="C19" s="3">
        <v>0</v>
      </c>
      <c r="D19" s="3">
        <v>69.833333333333343</v>
      </c>
    </row>
    <row r="20" spans="1:7">
      <c r="A20" s="3"/>
      <c r="B20" s="3" t="s">
        <v>18</v>
      </c>
      <c r="C20" s="3">
        <v>0</v>
      </c>
      <c r="D20" s="3">
        <v>0</v>
      </c>
    </row>
    <row r="21" spans="1:7">
      <c r="A21" s="3"/>
      <c r="B21" s="3" t="s">
        <v>19</v>
      </c>
      <c r="C21" s="3">
        <v>0</v>
      </c>
      <c r="D21" s="3">
        <v>0</v>
      </c>
    </row>
    <row r="22" spans="1:7">
      <c r="A22" s="5"/>
      <c r="B22" s="5" t="s">
        <v>20</v>
      </c>
      <c r="C22" s="5">
        <v>0</v>
      </c>
      <c r="D22" s="5">
        <v>323.66666666666669</v>
      </c>
    </row>
    <row r="24" spans="1:7">
      <c r="A24" s="7" t="s">
        <v>21</v>
      </c>
      <c r="B24" s="7"/>
      <c r="C24" s="7"/>
      <c r="D24" s="7"/>
      <c r="E24" s="7"/>
      <c r="F24" s="7"/>
      <c r="G24" s="7"/>
    </row>
    <row r="25" spans="1:7">
      <c r="A25" s="4"/>
      <c r="B25" s="4" t="s">
        <v>5</v>
      </c>
      <c r="C25" s="4" t="s">
        <v>6</v>
      </c>
      <c r="D25" s="4" t="s">
        <v>7</v>
      </c>
      <c r="E25" s="4" t="s">
        <v>42</v>
      </c>
      <c r="F25" s="4" t="s">
        <v>43</v>
      </c>
      <c r="G25" s="4" t="s">
        <v>44</v>
      </c>
    </row>
    <row r="26" spans="1:7">
      <c r="A26" s="3"/>
      <c r="B26" s="3" t="s">
        <v>29</v>
      </c>
      <c r="C26" s="3">
        <v>0</v>
      </c>
      <c r="D26" s="3">
        <v>69.833333333333343</v>
      </c>
      <c r="E26" s="3">
        <v>-1E+30</v>
      </c>
      <c r="F26" s="3">
        <v>937</v>
      </c>
      <c r="G26" s="3">
        <v>867.16666666666663</v>
      </c>
    </row>
    <row r="27" spans="1:7">
      <c r="A27" s="3"/>
      <c r="B27" s="3" t="s">
        <v>30</v>
      </c>
      <c r="C27" s="3">
        <v>0</v>
      </c>
      <c r="D27" s="3">
        <v>1390</v>
      </c>
      <c r="E27" s="3">
        <v>-1E+30</v>
      </c>
      <c r="F27" s="3">
        <v>1390</v>
      </c>
      <c r="G27" s="3">
        <v>0</v>
      </c>
    </row>
    <row r="28" spans="1:7">
      <c r="A28" s="3"/>
      <c r="B28" s="3" t="s">
        <v>31</v>
      </c>
      <c r="C28" s="3">
        <v>0</v>
      </c>
      <c r="D28" s="3">
        <v>603</v>
      </c>
      <c r="E28" s="3">
        <v>-1E+30</v>
      </c>
      <c r="F28" s="3">
        <v>603</v>
      </c>
      <c r="G28" s="3">
        <v>0</v>
      </c>
    </row>
    <row r="29" spans="1:7">
      <c r="A29" s="3"/>
      <c r="B29" s="3" t="s">
        <v>32</v>
      </c>
      <c r="C29" s="3">
        <v>0</v>
      </c>
      <c r="D29" s="3">
        <v>971</v>
      </c>
      <c r="E29" s="3">
        <v>-1E+30</v>
      </c>
      <c r="F29" s="3">
        <v>1120</v>
      </c>
      <c r="G29" s="3">
        <v>149</v>
      </c>
    </row>
    <row r="30" spans="1:7">
      <c r="A30" s="5"/>
      <c r="B30" s="5" t="s">
        <v>33</v>
      </c>
      <c r="C30" s="5">
        <v>0</v>
      </c>
      <c r="D30" s="5">
        <v>1180.5</v>
      </c>
      <c r="E30" s="5">
        <v>-1E+30</v>
      </c>
      <c r="F30" s="5">
        <v>1334</v>
      </c>
      <c r="G30" s="5">
        <v>153.5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workbookViewId="0">
      <selection activeCell="G13" sqref="A1:G13"/>
    </sheetView>
  </sheetViews>
  <sheetFormatPr defaultRowHeight="15"/>
  <cols>
    <col min="1" max="1" width="26" customWidth="1"/>
  </cols>
  <sheetData>
    <row r="1" spans="1:7">
      <c r="A1" s="1" t="s">
        <v>45</v>
      </c>
    </row>
    <row r="3" spans="1:7">
      <c r="A3" s="1" t="s">
        <v>46</v>
      </c>
      <c r="B3" s="1" t="s">
        <v>47</v>
      </c>
      <c r="C3" s="1" t="s">
        <v>48</v>
      </c>
      <c r="D3" s="1" t="s">
        <v>49</v>
      </c>
      <c r="E3" s="1" t="s">
        <v>50</v>
      </c>
      <c r="F3" s="1" t="s">
        <v>51</v>
      </c>
    </row>
    <row r="4" spans="1:7">
      <c r="A4" t="s">
        <v>52</v>
      </c>
      <c r="B4">
        <v>1</v>
      </c>
      <c r="C4">
        <v>5</v>
      </c>
      <c r="D4">
        <v>3</v>
      </c>
      <c r="E4">
        <v>0</v>
      </c>
      <c r="F4">
        <v>937</v>
      </c>
      <c r="G4">
        <f>SUMPRODUCT(B4:E4, $B$11:$E$11)</f>
        <v>69.833333333333343</v>
      </c>
    </row>
    <row r="5" spans="1:7">
      <c r="A5" t="s">
        <v>53</v>
      </c>
      <c r="B5">
        <v>6</v>
      </c>
      <c r="C5">
        <v>4</v>
      </c>
      <c r="D5">
        <v>6</v>
      </c>
      <c r="E5">
        <v>3</v>
      </c>
      <c r="F5">
        <v>1390</v>
      </c>
      <c r="G5">
        <f t="shared" ref="G5:G8" si="0">SUMPRODUCT(B5:E5, $B$11:$E$11)</f>
        <v>1390</v>
      </c>
    </row>
    <row r="6" spans="1:7">
      <c r="A6" t="s">
        <v>54</v>
      </c>
      <c r="B6">
        <v>4</v>
      </c>
      <c r="C6">
        <v>4</v>
      </c>
      <c r="D6">
        <v>4</v>
      </c>
      <c r="E6">
        <v>1</v>
      </c>
      <c r="F6">
        <v>603</v>
      </c>
      <c r="G6">
        <f t="shared" si="0"/>
        <v>603</v>
      </c>
    </row>
    <row r="7" spans="1:7">
      <c r="A7" t="s">
        <v>55</v>
      </c>
      <c r="B7">
        <v>0</v>
      </c>
      <c r="C7">
        <v>3</v>
      </c>
      <c r="D7">
        <v>5</v>
      </c>
      <c r="E7">
        <v>3</v>
      </c>
      <c r="F7">
        <v>1120</v>
      </c>
      <c r="G7">
        <f t="shared" si="0"/>
        <v>971</v>
      </c>
    </row>
    <row r="8" spans="1:7">
      <c r="A8" t="s">
        <v>56</v>
      </c>
      <c r="B8">
        <v>3</v>
      </c>
      <c r="C8">
        <v>5</v>
      </c>
      <c r="D8">
        <v>3</v>
      </c>
      <c r="E8">
        <v>3</v>
      </c>
      <c r="F8">
        <v>1334</v>
      </c>
      <c r="G8">
        <f t="shared" si="0"/>
        <v>1180.5</v>
      </c>
    </row>
    <row r="9" spans="1:7">
      <c r="A9" t="s">
        <v>57</v>
      </c>
      <c r="B9">
        <v>59</v>
      </c>
      <c r="C9">
        <v>42</v>
      </c>
      <c r="D9">
        <v>53</v>
      </c>
      <c r="E9">
        <v>19</v>
      </c>
    </row>
    <row r="11" spans="1:7">
      <c r="A11" t="s">
        <v>58</v>
      </c>
      <c r="B11">
        <v>69.833333333333343</v>
      </c>
      <c r="C11">
        <v>0</v>
      </c>
      <c r="D11">
        <v>0</v>
      </c>
      <c r="E11">
        <v>323.66666666666669</v>
      </c>
    </row>
    <row r="13" spans="1:7">
      <c r="A13" t="s">
        <v>59</v>
      </c>
      <c r="B13">
        <f>SUMPRODUCT(B9:E9, B11:E11)</f>
        <v>10269.833333333334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2026-10-04T09:07:08Z</dcterms:created>
  <dcterms:modified xsi:type="dcterms:W3CDTF">2026-10-04T10:37:19Z</dcterms:modified>
  <cp:category/>
  <cp:contentStatus/>
</cp:coreProperties>
</file>
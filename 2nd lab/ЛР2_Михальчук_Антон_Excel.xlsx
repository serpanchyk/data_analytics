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дель" sheetId="1" state="visible" r:id="rId1"/>
    <sheet name="Sensitivity_report" sheetId="2" state="visible" r:id="rId2"/>
    <sheet name="Solver_налаштуванн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ЛР2, варіант 13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Ресурс</t>
        </is>
      </c>
      <c r="B2" t="inlineStr">
        <is>
          <t>Astro</t>
        </is>
      </c>
      <c r="C2" t="inlineStr">
        <is>
          <t>Cosmo</t>
        </is>
      </c>
      <c r="D2" t="inlineStr">
        <is>
          <t>Nova</t>
        </is>
      </c>
      <c r="E2" t="inlineStr">
        <is>
          <t>Vega</t>
        </is>
      </c>
      <c r="F2" t="inlineStr">
        <is>
          <t>Запас</t>
        </is>
      </c>
      <c r="G2" t="inlineStr">
        <is>
          <t>Використано</t>
        </is>
      </c>
      <c r="H2" t="inlineStr">
        <is>
          <t>Резерв</t>
        </is>
      </c>
    </row>
    <row r="3">
      <c r="A3" t="inlineStr">
        <is>
          <t>Конвеєр A</t>
        </is>
      </c>
      <c r="B3" t="n">
        <v>1</v>
      </c>
      <c r="C3" t="n">
        <v>5</v>
      </c>
      <c r="D3" t="n">
        <v>3</v>
      </c>
      <c r="E3" t="n">
        <v>0</v>
      </c>
      <c r="F3" t="n">
        <v>937</v>
      </c>
      <c r="G3">
        <f>SUMPRODUCT(B3:E3,$B$9:$E$9)</f>
        <v/>
      </c>
      <c r="H3">
        <f>F3-G3</f>
        <v/>
      </c>
    </row>
    <row r="4">
      <c r="A4" t="inlineStr">
        <is>
          <t>Конвеєр Б</t>
        </is>
      </c>
      <c r="B4" t="n">
        <v>6</v>
      </c>
      <c r="C4" t="n">
        <v>4</v>
      </c>
      <c r="D4" t="n">
        <v>6</v>
      </c>
      <c r="E4" t="n">
        <v>3</v>
      </c>
      <c r="F4" t="n">
        <v>1390</v>
      </c>
      <c r="G4">
        <f>SUMPRODUCT(B4:E4,$B$9:$E$9)</f>
        <v/>
      </c>
      <c r="H4">
        <f>F4-G4</f>
        <v/>
      </c>
    </row>
    <row r="5">
      <c r="A5" t="inlineStr">
        <is>
          <t>Цех кінескопів</t>
        </is>
      </c>
      <c r="B5" t="n">
        <v>4</v>
      </c>
      <c r="C5" t="n">
        <v>4</v>
      </c>
      <c r="D5" t="n">
        <v>4</v>
      </c>
      <c r="E5" t="n">
        <v>1</v>
      </c>
      <c r="F5" t="n">
        <v>603</v>
      </c>
      <c r="G5">
        <f>SUMPRODUCT(B5:E5,$B$9:$E$9)</f>
        <v/>
      </c>
      <c r="H5">
        <f>F5-G5</f>
        <v/>
      </c>
    </row>
    <row r="6">
      <c r="A6" t="inlineStr">
        <is>
          <t>Цех корпусів</t>
        </is>
      </c>
      <c r="B6" t="n">
        <v>0</v>
      </c>
      <c r="C6" t="n">
        <v>3</v>
      </c>
      <c r="D6" t="n">
        <v>5</v>
      </c>
      <c r="E6" t="n">
        <v>3</v>
      </c>
      <c r="F6" t="n">
        <v>1120</v>
      </c>
      <c r="G6">
        <f>SUMPRODUCT(B6:E6,$B$9:$E$9)</f>
        <v/>
      </c>
      <c r="H6">
        <f>F6-G6</f>
        <v/>
      </c>
    </row>
    <row r="7">
      <c r="A7" t="inlineStr">
        <is>
          <t>Збирання</t>
        </is>
      </c>
      <c r="B7" t="n">
        <v>3</v>
      </c>
      <c r="C7" t="n">
        <v>5</v>
      </c>
      <c r="D7" t="n">
        <v>3</v>
      </c>
      <c r="E7" t="n">
        <v>3</v>
      </c>
      <c r="F7" t="n">
        <v>1334</v>
      </c>
      <c r="G7">
        <f>SUMPRODUCT(B7:E7,$B$9:$E$9)</f>
        <v/>
      </c>
      <c r="H7">
        <f>F7-G7</f>
        <v/>
      </c>
    </row>
    <row r="9">
      <c r="A9" t="inlineStr">
        <is>
          <t>План</t>
        </is>
      </c>
      <c r="B9" t="n">
        <v>69.8333333333</v>
      </c>
      <c r="C9" t="n">
        <v>0</v>
      </c>
      <c r="D9" t="n">
        <v>0</v>
      </c>
      <c r="E9" t="n">
        <v>323.6666666667</v>
      </c>
    </row>
    <row r="10">
      <c r="A10" t="inlineStr">
        <is>
          <t>Прибуток/од.</t>
        </is>
      </c>
      <c r="B10" t="n">
        <v>59</v>
      </c>
      <c r="C10" t="n">
        <v>42</v>
      </c>
      <c r="D10" t="n">
        <v>53</v>
      </c>
      <c r="E10" t="n">
        <v>19</v>
      </c>
    </row>
    <row r="11">
      <c r="A11" t="inlineStr">
        <is>
          <t>Ціль</t>
        </is>
      </c>
      <c r="B11">
        <f>SUMPRODUCT(B9:E9,B10:E10)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Sensitivity Report — дані для звірки з Excel Solver</t>
        </is>
      </c>
      <c r="B1" s="1" t="n"/>
      <c r="C1" s="1" t="n"/>
      <c r="D1" s="1" t="n"/>
      <c r="E1" s="1" t="n"/>
      <c r="F1" s="1" t="n"/>
    </row>
    <row r="2">
      <c r="A2" t="inlineStr">
        <is>
          <t>Обмеження</t>
        </is>
      </c>
      <c r="B2" t="inlineStr">
        <is>
          <t>Final</t>
        </is>
      </c>
      <c r="C2" t="inlineStr">
        <is>
          <t>Shadow</t>
        </is>
      </c>
      <c r="D2" t="inlineStr">
        <is>
          <t>RHS</t>
        </is>
      </c>
      <c r="E2" t="inlineStr">
        <is>
          <t>Доп. +</t>
        </is>
      </c>
      <c r="F2" t="inlineStr">
        <is>
          <t>Доп. −</t>
        </is>
      </c>
    </row>
    <row r="3">
      <c r="A3" t="inlineStr">
        <is>
          <t>Конвеєр A</t>
        </is>
      </c>
      <c r="B3" t="n">
        <v>69.833</v>
      </c>
      <c r="C3" t="n">
        <v>0</v>
      </c>
      <c r="D3" t="n">
        <v>937</v>
      </c>
      <c r="E3" t="inlineStr">
        <is>
          <t>∞</t>
        </is>
      </c>
      <c r="F3" t="n">
        <v>867.167</v>
      </c>
    </row>
    <row r="4">
      <c r="A4" t="inlineStr">
        <is>
          <t>Конвеєр Б</t>
        </is>
      </c>
      <c r="B4" t="n">
        <v>1390</v>
      </c>
      <c r="C4" t="n">
        <v>2.833</v>
      </c>
      <c r="D4" t="n">
        <v>1390</v>
      </c>
      <c r="E4" t="n">
        <v>74.5</v>
      </c>
      <c r="F4" t="n">
        <v>485.5</v>
      </c>
    </row>
    <row r="5">
      <c r="A5" t="inlineStr">
        <is>
          <t>Кінескопи</t>
        </is>
      </c>
      <c r="B5" t="n">
        <v>603</v>
      </c>
      <c r="C5" t="n">
        <v>10.5</v>
      </c>
      <c r="D5" t="n">
        <v>603</v>
      </c>
      <c r="E5" t="n">
        <v>323.667</v>
      </c>
      <c r="F5" t="n">
        <v>49.667</v>
      </c>
    </row>
    <row r="6">
      <c r="A6" t="inlineStr">
        <is>
          <t>Корпуси</t>
        </is>
      </c>
      <c r="B6" t="n">
        <v>971</v>
      </c>
      <c r="C6" t="n">
        <v>0</v>
      </c>
      <c r="D6" t="n">
        <v>1120</v>
      </c>
      <c r="E6" t="inlineStr">
        <is>
          <t>∞</t>
        </is>
      </c>
      <c r="F6" t="n">
        <v>149</v>
      </c>
    </row>
    <row r="7">
      <c r="A7" t="inlineStr">
        <is>
          <t>Збирання</t>
        </is>
      </c>
      <c r="B7" t="n">
        <v>1180.5</v>
      </c>
      <c r="C7" t="n">
        <v>0</v>
      </c>
      <c r="D7" t="n">
        <v>1334</v>
      </c>
      <c r="E7" t="inlineStr">
        <is>
          <t>∞</t>
        </is>
      </c>
      <c r="F7" t="n">
        <v>153.5</v>
      </c>
    </row>
    <row r="9">
      <c r="A9" t="inlineStr">
        <is>
          <t>Змінна</t>
        </is>
      </c>
      <c r="B9" t="inlineStr">
        <is>
          <t>Final</t>
        </is>
      </c>
      <c r="C9" t="inlineStr">
        <is>
          <t>Reduced</t>
        </is>
      </c>
      <c r="D9" t="inlineStr">
        <is>
          <t>Coeff.</t>
        </is>
      </c>
      <c r="E9" t="inlineStr">
        <is>
          <t>Доп. +</t>
        </is>
      </c>
      <c r="F9" t="inlineStr">
        <is>
          <t>Доп. −</t>
        </is>
      </c>
    </row>
    <row r="10">
      <c r="A10" t="inlineStr">
        <is>
          <t>Astro</t>
        </is>
      </c>
      <c r="B10" t="n">
        <v>69.833</v>
      </c>
      <c r="C10" t="n">
        <v>0</v>
      </c>
      <c r="D10" t="n">
        <v>59</v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Cosmo</t>
        </is>
      </c>
      <c r="B11" t="n">
        <v>0</v>
      </c>
      <c r="C11" t="n">
        <v>11.333</v>
      </c>
      <c r="D11" t="n">
        <v>42</v>
      </c>
      <c r="E11" t="n">
        <v>11.333</v>
      </c>
      <c r="F11" t="inlineStr">
        <is>
          <t>∞</t>
        </is>
      </c>
    </row>
    <row r="12">
      <c r="A12" t="inlineStr">
        <is>
          <t>Nova</t>
        </is>
      </c>
      <c r="B12" t="n">
        <v>0</v>
      </c>
      <c r="C12" t="n">
        <v>6</v>
      </c>
      <c r="D12" t="n">
        <v>53</v>
      </c>
      <c r="E12" t="n">
        <v>6</v>
      </c>
      <c r="F12" t="inlineStr">
        <is>
          <t>∞</t>
        </is>
      </c>
    </row>
    <row r="13">
      <c r="A13" t="inlineStr">
        <is>
          <t>Vega</t>
        </is>
      </c>
      <c r="B13" t="n">
        <v>323.667</v>
      </c>
      <c r="C13" t="n">
        <v>0</v>
      </c>
      <c r="D13" t="n">
        <v>19</v>
      </c>
      <c r="E13" t="inlineStr">
        <is>
          <t>—</t>
        </is>
      </c>
      <c r="F1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Ціль</t>
        </is>
      </c>
      <c r="B1" s="1" t="inlineStr">
        <is>
          <t>B11, Max</t>
        </is>
      </c>
    </row>
    <row r="2">
      <c r="A2" t="inlineStr">
        <is>
          <t>Змінні</t>
        </is>
      </c>
      <c r="B2" t="inlineStr">
        <is>
          <t>B9:E9</t>
        </is>
      </c>
    </row>
    <row r="3">
      <c r="A3" t="inlineStr">
        <is>
          <t>Обмеження</t>
        </is>
      </c>
      <c r="B3" t="inlineStr">
        <is>
          <t>G3:G7 ≤ F3:F7; B9:E9 ≥ 0</t>
        </is>
      </c>
    </row>
    <row r="4">
      <c r="A4" t="inlineStr">
        <is>
          <t>Метод</t>
        </is>
      </c>
      <c r="B4" t="inlineStr">
        <is>
          <t>Simplex LP</t>
        </is>
      </c>
    </row>
    <row r="5">
      <c r="A5" t="inlineStr">
        <is>
          <t>Звіт</t>
        </is>
      </c>
      <c r="B5" t="inlineStr">
        <is>
          <t>Після Solve обрати Sensitivity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2026-09-29T18:39:14Z</dcterms:created>
  <dcterms:modified xsi:type="dcterms:W3CDTF">2026-09-29T18:39:14Z</dcterms:modified>
</cp:coreProperties>
</file>